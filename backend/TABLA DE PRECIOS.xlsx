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<sst xmlns="http://schemas.openxmlformats.org/spreadsheetml/2006/main" count="1722" uniqueCount="329">
  <si>
    <t>LINO</t>
  </si>
  <si>
    <t>REDONDOS CON BIES</t>
  </si>
  <si>
    <t>Diametro</t>
  </si>
  <si>
    <t>Agregado</t>
  </si>
  <si>
    <t>COSTO PRODUCCION</t>
  </si>
  <si>
    <t>TOTAL IMPUESTOS Y COMISIONES</t>
  </si>
  <si>
    <t>TOTAL</t>
  </si>
  <si>
    <t xml:space="preserve">VALOR FINAL </t>
  </si>
  <si>
    <t xml:space="preserve">VALOR TRANSFERENCIA </t>
  </si>
  <si>
    <t>Tamaño</t>
  </si>
  <si>
    <t>Tipo</t>
  </si>
  <si>
    <t>REDONDO BIES 1,40</t>
  </si>
  <si>
    <t>bies</t>
  </si>
  <si>
    <t>redondo</t>
  </si>
  <si>
    <t>caida</t>
  </si>
  <si>
    <t>REDONDO BIES 1,60</t>
  </si>
  <si>
    <t>REDONDO BIES 1,80</t>
  </si>
  <si>
    <t>REDONDO BIES 2,00</t>
  </si>
  <si>
    <t>REDONDO BIES 2,50</t>
  </si>
  <si>
    <t>REDONDO SIMIL LINO FLECOS</t>
  </si>
  <si>
    <t>IG</t>
  </si>
  <si>
    <t>DIAMETRO 1,20</t>
  </si>
  <si>
    <t>flecos</t>
  </si>
  <si>
    <t>DIAMETRO 1,40</t>
  </si>
  <si>
    <t>DIAMETRO 1,60</t>
  </si>
  <si>
    <t>DIAMETRO 1,80</t>
  </si>
  <si>
    <t>DIAMETRO 2,00</t>
  </si>
  <si>
    <t>DIAMETRO 2,30</t>
  </si>
  <si>
    <t>DIAMETRO 2,50</t>
  </si>
  <si>
    <t>TEXTURADO SIMIL LINO AJUSTABLE</t>
  </si>
  <si>
    <t>REDONDO AJUSTABLE PARA MESA 0,50</t>
  </si>
  <si>
    <t>ninguno</t>
  </si>
  <si>
    <t>ajustable</t>
  </si>
  <si>
    <t>REDONDO AJUSTABLE PARA MESA 0,60</t>
  </si>
  <si>
    <t>REDONDO AJUSTABLE PARA MESA 0,70</t>
  </si>
  <si>
    <t>REDONDO AJUSTABLE PARA MESA 0,80</t>
  </si>
  <si>
    <t>REDONDO AJUSTABLE PARA MESA 0,90</t>
  </si>
  <si>
    <t>REDONDO AJUSTABLE PARA MESA 1,00</t>
  </si>
  <si>
    <t>REDONDO AJUSTABLE PARA MESA 1,10</t>
  </si>
  <si>
    <t>REDONDO AJUSTABLE PARA MESA 1,20</t>
  </si>
  <si>
    <t>REDONDO AJUSTABLE PARA MESA 1,30</t>
  </si>
  <si>
    <t>REDONDO AJUSTABLE PARA MESA 1,40</t>
  </si>
  <si>
    <t>REDONDO AJUSTABLE PARA MESA 1,50</t>
  </si>
  <si>
    <t>REDONDO AJUSTABLE PARA MESA 1,60</t>
  </si>
  <si>
    <t>REDONDO AJUSTABLE PARA MESA 1,80</t>
  </si>
  <si>
    <t>ENCASTRABLE MESA REDONDA CON BIES</t>
  </si>
  <si>
    <t>ENCASTRABLE PARA REDONDA 60 DIAMETRO</t>
  </si>
  <si>
    <t>encastrable</t>
  </si>
  <si>
    <t>ENCASTRABLE PARA REDONDA 70 DIAMETRO</t>
  </si>
  <si>
    <t>ENCASTRABLE PARA REDONDA 80 DIAMETRO</t>
  </si>
  <si>
    <t>ENCASTRABLE PARA REDONDA 90 DIAMETRO</t>
  </si>
  <si>
    <t>ENCASTRABLE PARA REDONDA 100 DIAMETRO</t>
  </si>
  <si>
    <t>ENCASTRABLE PARA REDONDA 110 DIAMETRO</t>
  </si>
  <si>
    <t>ENCASTRABLE PARA REDONDA 120 DIAMETRO</t>
  </si>
  <si>
    <t>ENCASTRABLE PARA REDONDA 130 DIAMETRO</t>
  </si>
  <si>
    <t>ENCASTRABLE PARA REDONDA 140 DIAMETRO</t>
  </si>
  <si>
    <t>ENCASTRABLE MESA REDONDA CON FLECOS</t>
  </si>
  <si>
    <t>ENCASTRABLE PARA REDONDA 150 DIAMETRO</t>
  </si>
  <si>
    <t>ENCASTRABLE PARA REDONDA 160 DIAMETRO</t>
  </si>
  <si>
    <t>ENCASTRABLE MESA RECTANGULAR</t>
  </si>
  <si>
    <t>Ancho</t>
  </si>
  <si>
    <t>Largo</t>
  </si>
  <si>
    <t>ENCASTRABLE RECTANGULAR PARA 180 X 145 agregado</t>
  </si>
  <si>
    <t>rectangular</t>
  </si>
  <si>
    <t>ENCASTRABLE RECTANGULAR PARA 190 X 145 agregado</t>
  </si>
  <si>
    <t>ENCASTRABLE RECTANGULAR PARA 420 X 150 agregado</t>
  </si>
  <si>
    <t>ENCASTRABLE RECTANGULAR PARA 350 X 150 agregado</t>
  </si>
  <si>
    <t>ENCASTRABLE RECTANGULAR PARA 300 X 150 agregado</t>
  </si>
  <si>
    <t>ENCASTRABLE RECTANGULAR PARA 300 X 140 agregado</t>
  </si>
  <si>
    <t>ENCASTRABLE RECTANGULAR PARA 280 X 130 agregado</t>
  </si>
  <si>
    <t>ENCASTRABLE RECTANGULAR PARA 280 X 180 agregado</t>
  </si>
  <si>
    <t>ENCASTRABLE RECTANGULAR PARA 270 X 140 agregado</t>
  </si>
  <si>
    <t>ENCASTRABLE RECTANGULAR PARA 275 X 163 agregado - caida 14</t>
  </si>
  <si>
    <t>ENCASTRABLE RECTANGULAR PARA 200 X 140 agregado</t>
  </si>
  <si>
    <t>ENCASTRABLE RECTANGULAR PARA 260 X 125 agregado</t>
  </si>
  <si>
    <t>ENCASTRABLE RECTANGULAR PARA 260 X 153 agregado</t>
  </si>
  <si>
    <t>ENCASTRABLE RECTANGULAR PARA 260 X 150 agregado</t>
  </si>
  <si>
    <t>ENCASTRABLE RECTANGULAR PARA 250 x 150 agregado</t>
  </si>
  <si>
    <t>ENCASTRABLE RECTANGULAR PARA 250 X 140 agregado</t>
  </si>
  <si>
    <t>ENCASTRABLE RECTANGULAR PARA 246 X 146 agregado</t>
  </si>
  <si>
    <t>ENCASTRABLE RECTANGULAR PARA 260 X 160 agregado</t>
  </si>
  <si>
    <t>ENCASTRABLE RECTANGULAR PARA 260 X 140 agregado</t>
  </si>
  <si>
    <t>ENCASTRABLE RECTANGULAR PARA 240 X 150 agregado</t>
  </si>
  <si>
    <t>ENCASTRABLE RECTANGULAR PARA 230 x 150 agregado</t>
  </si>
  <si>
    <t>ENCASTRABLE RECTANGULAR PARA 360 X 80</t>
  </si>
  <si>
    <t>ENCASTRABLE RECTANGULAR PARA 350 X 120</t>
  </si>
  <si>
    <t>ENCASTRABLE RECTANGULAR PARA 340 X 100</t>
  </si>
  <si>
    <t>ENCASTRABLE RECTANGULAR PARA 300 X 120</t>
  </si>
  <si>
    <t>ENCASTRABLE RECTANGULAR PARA 300 X 110</t>
  </si>
  <si>
    <t>ENCASTRABLE RECTANGULAR PARA 300 X 100</t>
  </si>
  <si>
    <t>ENCASTRABLE RECTANGULAR PARA 280 X 110</t>
  </si>
  <si>
    <t>ENCASTRABLE RECTANGULAR PARA 280 X 90</t>
  </si>
  <si>
    <t>ENCASTRABLE RECTANGULAR PARA 270 X 100</t>
  </si>
  <si>
    <t>ENCASTRABLE RECTANGULAR PARA 260 X 120</t>
  </si>
  <si>
    <t>ENCASTRABLE RECTANGULAR PARA 260 X 110</t>
  </si>
  <si>
    <t>ENCASTRABLE RECTANGULAR PARA 260 X 50</t>
  </si>
  <si>
    <t>ENCASTRABLE RECTANGULAR PARA 255 X 105</t>
  </si>
  <si>
    <t>ENCASTRABLE RECTANGULAR PARA 250 X 120</t>
  </si>
  <si>
    <t>ENCASTRABLE RECTANGULAR PARA 250 X 80</t>
  </si>
  <si>
    <t>ENCASTRABLE RECTANGULAR PARA 240 X 120</t>
  </si>
  <si>
    <t>ENCASTRABLE RECTANGULAR PARA 240 X 110</t>
  </si>
  <si>
    <t>ENCASTRABLE RECTANGULAR PARA 240 X 100</t>
  </si>
  <si>
    <t>ENCASTRABLE RECTANGULAR PARA 240 X 61</t>
  </si>
  <si>
    <t>ENCASTRABLE RECTANGULAR PARA 230 X 90</t>
  </si>
  <si>
    <t>ENCASTRABLE RECTANGULAR PARA 230 X 120</t>
  </si>
  <si>
    <t>ENCASTRABLE RECTANGULAR PARA 220 X 120</t>
  </si>
  <si>
    <t>ENCASTRABLE RECTANGULAR PARA 220 X 110</t>
  </si>
  <si>
    <t>ENCASTRABLE RECTANGULAR PARA 220 X 100</t>
  </si>
  <si>
    <t>ENCASTRABLE RECTANGULAR PARA 220 X 90</t>
  </si>
  <si>
    <t>ENCASTRABLE RECTANGULAR PARA 210 X 120</t>
  </si>
  <si>
    <t>ENCASTRABLE RECTANGULAR PARA 200 X 100</t>
  </si>
  <si>
    <t>ENCASTRABLE RECTANGULAR PARA 200 X 90</t>
  </si>
  <si>
    <t>ENCASTRABLE RECTANGULAR PARA 200 X 80</t>
  </si>
  <si>
    <t>ENCASTRABLE RECTANGULAR PARA 200 X 60</t>
  </si>
  <si>
    <t>ENCASTRABLE RECTANGULAR PARA 190 x 90</t>
  </si>
  <si>
    <t>ENCASTRABLE RECTANGULAR PARA 190 x 80</t>
  </si>
  <si>
    <t>ENCASTRABLE RECTANGULAR PARA 180 x 90</t>
  </si>
  <si>
    <t>ENCASTRABLE RECTANGULAR PARA 180 x 85</t>
  </si>
  <si>
    <t>ENCASTRABLE RECTANGULAR PARA 180 x 80</t>
  </si>
  <si>
    <t>ENCASTRABLE RECTANGULAR PARA 180 x 75</t>
  </si>
  <si>
    <t>ENCASTRABLE RECTANGULAR PARA 180 x 60</t>
  </si>
  <si>
    <t>ENCASTRABLE RECTANGULAR PARA 170 X 90</t>
  </si>
  <si>
    <t>ENCASTRABLE RECTANGULAR PARA 160 X 100</t>
  </si>
  <si>
    <t>ENCASTRABLE RECTANGULAR PARA 160 X 90</t>
  </si>
  <si>
    <t>ENCASTRABLE RECTANGULAR PARA 160 X 80</t>
  </si>
  <si>
    <t>ENCASTRABLE RECTANGULAR PARA 156 X 80</t>
  </si>
  <si>
    <t>ENCASTRABLE RECTANGULAR PARA 155 X 90</t>
  </si>
  <si>
    <t>ENCASTRABLE RECTANGULAR PARA 150 X 120</t>
  </si>
  <si>
    <t>ENCASTRABLE RECTANGULAR PARA 150 X 100</t>
  </si>
  <si>
    <t>ENCASTRABLE RECTANGULAR PARA 150 X 90</t>
  </si>
  <si>
    <t>ENCASTRABLE RECTANGULAR PARA 150 X 80</t>
  </si>
  <si>
    <t>ENCASTRABLE RECTANGULAR PARA 150 X 70</t>
  </si>
  <si>
    <t>ENCASTRABLE RECTANGULAR PARA 140 X 120</t>
  </si>
  <si>
    <t>ENCASTRABLE RECTANGULAR PARA 140 X 100</t>
  </si>
  <si>
    <t>ENCASTRABLE RECTANGULAR PARA 140 X 90</t>
  </si>
  <si>
    <t>ENCASTRABLE RECTANGULAR PARA 140 X 85</t>
  </si>
  <si>
    <t>ENCASTRABLE RECTANGULAR PARA 140 X 80</t>
  </si>
  <si>
    <t>ENCASTRABLE RECTANGULAR PARA 140 X 70</t>
  </si>
  <si>
    <t>ENCASTRABLE RECTANGULAR PARA 130 X 90</t>
  </si>
  <si>
    <t>ENCASTRABLE RECTANGULAR PARA 130 X 80</t>
  </si>
  <si>
    <t>ENCASTRABLE RECTANGULAR PARA 130 X 70</t>
  </si>
  <si>
    <t>ENCASTRABLE RECTANGULAR PARA 130 X 60</t>
  </si>
  <si>
    <t>ENCASTRABLE RECTANGULAR PARA 120 X 90</t>
  </si>
  <si>
    <t>ENCASTRABLE RECTANGULAR PARA 120 X 80</t>
  </si>
  <si>
    <t>ENCASTRABLE RECTANGULAR PARA 120 X 70</t>
  </si>
  <si>
    <t>ENCASTRABLE RECTANGULAR PARA 100 X 70</t>
  </si>
  <si>
    <t>ENCASTRABLE RECTANGULAR PARA 100 X 60</t>
  </si>
  <si>
    <t>ENCASTRABLE RECTANGULAR PARA 90 X 60</t>
  </si>
  <si>
    <t>ENCASTRABLE RECTANGULAR PARA 60 X 40</t>
  </si>
  <si>
    <t>ENCASTRABLE CON FLECOS PARA MESA RECTANGULAR</t>
  </si>
  <si>
    <t>ENCASTRABLE RECTANGULAR CON FLECOS PARA 250 X 140 - agregado</t>
  </si>
  <si>
    <t>ENCASTRABLE RECTANGULAR CON FLECOS PARA 260 X 90</t>
  </si>
  <si>
    <t>ENCASTRABLE RECTANGULAR CON FLECOS PARA 240 X 120</t>
  </si>
  <si>
    <t>ENCASTRABLE RECTANGULAR CON FLECOS PARA 220 X 120</t>
  </si>
  <si>
    <t>ENCASTRABLE RECTANGULAR CON FLECOS PARA 220 X 80</t>
  </si>
  <si>
    <t>ENCASTRABLE RECTANGULAR CON FLECOS PARA 200 X 110</t>
  </si>
  <si>
    <t>ENCASTRABLE RECTANGULAR CON FLECOS PARA 200 X 100</t>
  </si>
  <si>
    <t>ENCASTRABLE RECTANGULAR CON FLECOS PARA 190 x 90</t>
  </si>
  <si>
    <t>ENCASTRABLE RECTANGULAR CON FLECOS PARA 180 x 100</t>
  </si>
  <si>
    <t>ENCASTRABLE RECTANGULAR CON FLECOS PARA 180 x 90</t>
  </si>
  <si>
    <t>ENCASTRABLE RECTANGULAR CON FLECOS PARA 180 x 80</t>
  </si>
  <si>
    <t>ENCASTRABLE RECTANGULAR CON FLECOS PARA 170 x 90</t>
  </si>
  <si>
    <t>ENCASTRABLE RECTANGULAR CON FLECOS PARA 160 x 90</t>
  </si>
  <si>
    <t>ENCASTRABLE RECTANGULAR CON FLECOS PARA 160 X 80</t>
  </si>
  <si>
    <t>ENCASTRABLE RECTANGULAR CON FLECOS PARA 150 X 90</t>
  </si>
  <si>
    <t>ENCASTRABLE RECTANGULAR CON FLECOS PARA 150 X 80</t>
  </si>
  <si>
    <t>ENCASTRABLE RECTANGULAR CON FLECOS PARA 140 X 90</t>
  </si>
  <si>
    <t>ENCASTRABLE RECTANGULAR CON FLECOS PARA 140 X 85</t>
  </si>
  <si>
    <t>ENCASTRABLE RECTANGULAR CON FLECOS PARA 140 X 80</t>
  </si>
  <si>
    <t>ENCASTRABLE RECTANGULAR CON FLECOS PARA 140 X 70</t>
  </si>
  <si>
    <t>ENCASTRABLE RECTANGULAR CON FLECOS PARA 130 X 80</t>
  </si>
  <si>
    <t>ENCASTRABLE RECTANGULAR CON FLECOS PARA 120 X 80</t>
  </si>
  <si>
    <t>ENCASTRABLE RECTANGULAR CON FLECOS PARA 120 X 70</t>
  </si>
  <si>
    <t>ENCASTRABLE RECTANGULAR CON FLECOS PARA 110 X 60</t>
  </si>
  <si>
    <t>ENCASTRABLE RECTANGULAR CON FLECOS PARA 100 X 70</t>
  </si>
  <si>
    <t>ENCASTRABLE MESA CUADRADA</t>
  </si>
  <si>
    <t>ENCASTRABLE CUADRADO 70 x 70</t>
  </si>
  <si>
    <t>cuadrado</t>
  </si>
  <si>
    <t>ENCASTRABLE CUADRADO 85 X 85</t>
  </si>
  <si>
    <t>ENCASTRABLE CUADRADO 90 x 90</t>
  </si>
  <si>
    <t>ENCASTRABLE CUADRADO 100 x 100</t>
  </si>
  <si>
    <t>ENCASTRABLE CUADRADO 110 x 110</t>
  </si>
  <si>
    <t>ENCASTRABLE CUADRADO 120 X 120</t>
  </si>
  <si>
    <t>ENCASTRABLE CUADRADO 125 X 125 agregado</t>
  </si>
  <si>
    <t>ENCASTRABLE CUADRADO 130 X 130 agregado</t>
  </si>
  <si>
    <t>ENCASTRABLE CUADRADO 140 X 140 agregado</t>
  </si>
  <si>
    <t>ENCASTRABLE CUADRADO 145 X 145 agregado</t>
  </si>
  <si>
    <t>ENCASTRABLE CUADRADO 150 X 150 agregado</t>
  </si>
  <si>
    <t>ENCASTRABLE CUADRADO 160 X 160 agregado</t>
  </si>
  <si>
    <t>ENCASTRABLE CUADRADO 170 X 170 agregado</t>
  </si>
  <si>
    <t>ENCASTRABLE CUADRADO 180 x 180 agregado</t>
  </si>
  <si>
    <t>ENCASTRABLE CUADRADO 200 x 200 agregado</t>
  </si>
  <si>
    <t>ENCASTRABLE CON FLECOS PARA MESA CUADRADA</t>
  </si>
  <si>
    <t>ENCASTRABLE CUADRADO CON FLECOS 70 x 70</t>
  </si>
  <si>
    <t>ENCASTRABLE CUADRADO CON FLECOS 80 X 80</t>
  </si>
  <si>
    <t>ENCASTRABLE CUADRADO CON FLECOS 90 x 90</t>
  </si>
  <si>
    <t>ENCASTRABLE CUADRADO CON FLECOS 100 x 100</t>
  </si>
  <si>
    <t>ENCASTRABLE CUADRADO CON FLECOS 110 x 110</t>
  </si>
  <si>
    <t>ENCASTRABLE CUADRADO CON FLECOS 120 X 120</t>
  </si>
  <si>
    <t>ENCASTRABLE CUADRADO CON FLECOS 130 X 130 agregado</t>
  </si>
  <si>
    <t>ENCASTRABLE CUADRADO CON FLECOS 140 X 140 agregado</t>
  </si>
  <si>
    <t>ENCASTRABLE CUADRADO CON FLECOS 150 X 150 agregado</t>
  </si>
  <si>
    <t>ENCASTRABLE CUADRADO CON FLECOS 170 X 170 agregado</t>
  </si>
  <si>
    <t>RECTANGULAR SIMIL LINO CON BIES</t>
  </si>
  <si>
    <t>RECTANGULAR 160 x 120</t>
  </si>
  <si>
    <t>RECTANGULAR 180 x 140</t>
  </si>
  <si>
    <t>RECTANGULAR 200 x 140</t>
  </si>
  <si>
    <t>RECTANGULAR 250 x 140</t>
  </si>
  <si>
    <t>RECTANGULAR 300 x 140</t>
  </si>
  <si>
    <t>RECTANGULAR 300 x 160 agregado</t>
  </si>
  <si>
    <t>RECTANGULAR 300 x 180 agregado</t>
  </si>
  <si>
    <t>RECTANGULAR 230 x 180 agregado</t>
  </si>
  <si>
    <t>RECTANGULAR 420 x 200 agregado</t>
  </si>
  <si>
    <t>MANTEL RECTANGULAR CON FLECOS</t>
  </si>
  <si>
    <t>RECTANGULAR 1,60 X 1,20</t>
  </si>
  <si>
    <t>RECTANGULAR 1,80 X 1,40</t>
  </si>
  <si>
    <t>RECTANGULAR 2,00 X 1,40</t>
  </si>
  <si>
    <t>RECTANGULAR 2,20 X 1,40</t>
  </si>
  <si>
    <t>RECTANGULAR 2,50 X 1,40</t>
  </si>
  <si>
    <t>RECTANGULAR 3,00 X 1,40</t>
  </si>
  <si>
    <t>RECTANGULAR 2,00 x 1,60 agregado</t>
  </si>
  <si>
    <t>RECTANGULAR 2,40 x 1,60 agregado</t>
  </si>
  <si>
    <t>RECTANGULAR 2,60 x 1,60 agregado</t>
  </si>
  <si>
    <t>RECTANGULAR 2,60 x 1,80 agregado</t>
  </si>
  <si>
    <t>RECTANGULAR 2,80 x 1,60 agregado</t>
  </si>
  <si>
    <t>RECTANGULAR 3,00 x 1,60 agregado</t>
  </si>
  <si>
    <t>RECTANGULAR 3,50 X 1,60 agregado</t>
  </si>
  <si>
    <t>RECTANGULAR 4,40 x 1,60 agregado</t>
  </si>
  <si>
    <t>RECTANGULAR 2,20 X 1,80 agregado</t>
  </si>
  <si>
    <t>RECTANGULAR 3,00 X 1,80 agregado</t>
  </si>
  <si>
    <t>RECTANGULAR 3,50 X 1,80 agregado</t>
  </si>
  <si>
    <t>RECTANGULAR 3,80 X 1,70 agregado</t>
  </si>
  <si>
    <t>RECTANGULAR 4,00 x 1,80 agregado</t>
  </si>
  <si>
    <t>RECTANGULAR 4,00 x 2,30 agregado</t>
  </si>
  <si>
    <t>RECTANGULAR 3,40 X 2,10 agregado</t>
  </si>
  <si>
    <t>CUADRADO TEXTURADO SIMIL LINO BIES</t>
  </si>
  <si>
    <t>CUADRADO 140 X 140</t>
  </si>
  <si>
    <t>CUADRADO 160 X 160 AGREGADO</t>
  </si>
  <si>
    <t>CUADRADO 180 X 180 AGREGADO</t>
  </si>
  <si>
    <t>CUADRADO 200 X 200 AGREGADO</t>
  </si>
  <si>
    <t>MANTEL CUADRADO CON FLECOS</t>
  </si>
  <si>
    <t>CUADRADO 160 X 160 agregado</t>
  </si>
  <si>
    <t>CUADRADO 180 X 180 agregado</t>
  </si>
  <si>
    <t>CUADRADO 200 x 200 agregado</t>
  </si>
  <si>
    <t>TAPIR</t>
  </si>
  <si>
    <t>REDONDO BIES 1,20</t>
  </si>
  <si>
    <t>REDONDO BIES 2,20</t>
  </si>
  <si>
    <t>REDONDO CON FLECOS</t>
  </si>
  <si>
    <t>Columna 1</t>
  </si>
  <si>
    <t>REDONDO AJUSTABLE</t>
  </si>
  <si>
    <t>REDONDO AJUSTABLE PARA 0,50</t>
  </si>
  <si>
    <t>REDONDO AJUSTABLE PARA 0,60</t>
  </si>
  <si>
    <t>REDONDO AJUSTABLE PARA 0,70</t>
  </si>
  <si>
    <t>REDONDO AJUSTABLE PARA 0,80</t>
  </si>
  <si>
    <t>REDONDO AJUSTABLE PARA 0,90</t>
  </si>
  <si>
    <t>REDONDO AJUSTABLE PARA 1,00</t>
  </si>
  <si>
    <t>REDONDO AJUSTABLE PARA 1,10</t>
  </si>
  <si>
    <t>REDONDO AJUSTABLE PARA 1,15</t>
  </si>
  <si>
    <t>REDONDO AJUSTABLE PARA 1,20</t>
  </si>
  <si>
    <t>REDONDO AJUSTABLE PARA 1,30</t>
  </si>
  <si>
    <t>REDONDO AJUSTABLE PARA 1,40</t>
  </si>
  <si>
    <t>REDONDO AJUSTABLE PARA 1,50</t>
  </si>
  <si>
    <t>REDONDO AJUSTABLE PARA 1,60</t>
  </si>
  <si>
    <t>REDONDO AJUSTABLE PARA 1,80</t>
  </si>
  <si>
    <t>REDONDO AJUSTABLE PARA 2,00</t>
  </si>
  <si>
    <t>ENCASTRABLE RECTANGULAR PARA 280 X 160 agregado</t>
  </si>
  <si>
    <t>ENCASTRABLE RECTANGULAR PARA 230 X 180 agregado</t>
  </si>
  <si>
    <t>ENCASTRABLE RECTANGULAR PARA 310 X 140 agregado</t>
  </si>
  <si>
    <t>ENCASTRABLE RECTANGULAR PARA 240 X 140 agregado</t>
  </si>
  <si>
    <t>ENCASTRABLE RECTANGULAR PARA 190 x 140 agregado</t>
  </si>
  <si>
    <t>ENCASTRABLE RECTANGULAR PARA 340 x 100</t>
  </si>
  <si>
    <t>ENCASTRABLE RECTANGULAR PARA 400 X 120</t>
  </si>
  <si>
    <t>ENCASTRABLE RECTANGULAR PARA 257 X 100</t>
  </si>
  <si>
    <t>ENCASTRABLE RECTANGULAR PARA 250 X 110</t>
  </si>
  <si>
    <t>ENCASTRABLE RECTANGULAR PARA 220 x120</t>
  </si>
  <si>
    <t>ENCASTRABLE RECTANGULAR PARA 220 x110</t>
  </si>
  <si>
    <t>ENCASTRABLE RECTANGULAR PARA 220 x100</t>
  </si>
  <si>
    <t>ENCASTRABLE RECTANGULAR PARA 210 X 80</t>
  </si>
  <si>
    <t>ENCASTRABLE RECTANGULAR PARA 200 X 120</t>
  </si>
  <si>
    <t>ENCASTRABLE RECTANGULAR PARA 190 x 110</t>
  </si>
  <si>
    <t>ENCASTRABLE RECTANGULAR PARA 180 x 120</t>
  </si>
  <si>
    <t>ENCASTRABLE RECTANGULAR PARA 180 x 100</t>
  </si>
  <si>
    <t>ENCASTRABLE RECTANGULAR PARA 170 X 100</t>
  </si>
  <si>
    <t>ENCASTRABLE RECTANGULAR PARA 170 X 80</t>
  </si>
  <si>
    <t>ENCASTRABLE RECTANGULAR PARA 160 X 95</t>
  </si>
  <si>
    <t>ENCASTRABLE RECTANGULAR PARA 160 X 85</t>
  </si>
  <si>
    <t>ENCASTRABLE RECTANGULAR PARA 160 X 60</t>
  </si>
  <si>
    <t>ENCASTRABLE RECTANGULAR PARA 140 X 60</t>
  </si>
  <si>
    <t>ENCASTRABLE RECTANGULAR PARA 140 X 50</t>
  </si>
  <si>
    <t>ENCASTRABLE RECTANGULAR PARA 125 X 85</t>
  </si>
  <si>
    <t>ENCASTRABLE RECTANGULAR PARA 120 X 60</t>
  </si>
  <si>
    <t>ENCASTRABLE RECTANGULAR PARA 120 X 45</t>
  </si>
  <si>
    <t>ENCASTRABLE RECTANGULAR PARA 110 X 80</t>
  </si>
  <si>
    <t>ENCASTRABLE RECTANGULAR PARA 110 X 70</t>
  </si>
  <si>
    <t>ENCASTRABLE CUADRADO 50 x 50 cm</t>
  </si>
  <si>
    <t>ENCASTRABLE CUADRADO 60 x 60 cm</t>
  </si>
  <si>
    <t>ENCASTRABLE CUADRADO 70 x 70 cm</t>
  </si>
  <si>
    <t>ENCASTRABLE CUADRADO 75 X 75 CM</t>
  </si>
  <si>
    <t>ENCASTRABLE CUADRADO 80 X 80 CM</t>
  </si>
  <si>
    <t>ENCASTRABLE CUADRADO 85 X 85 CM</t>
  </si>
  <si>
    <t>ENCASTRABLE CUADRADO 90 X 90 CM</t>
  </si>
  <si>
    <t>ENCASTRABLE CUADRADO 100 X 100</t>
  </si>
  <si>
    <t>ENCASTRABLE CUADRADO 110 X 110</t>
  </si>
  <si>
    <t>ENCASTRABLE CUADRADO 130 X 130</t>
  </si>
  <si>
    <t>ENCASTRABLE CUADRADO 135 X 135</t>
  </si>
  <si>
    <t>ENCASTRABLE CUADRADO 140 X 140 AGREGADO</t>
  </si>
  <si>
    <t>ENCASTRABLE CUADRADO 145 X 145 AGREGADO</t>
  </si>
  <si>
    <t>ENCASTRABLE CUADRADO 150 x 150 AGREGADO</t>
  </si>
  <si>
    <t>ENCASTRABLE CUADRADO 160 x 160 AGREGADO</t>
  </si>
  <si>
    <t>ENCASTRABLE CUADRADO 170 x 170 AGREGADO</t>
  </si>
  <si>
    <t>ENCASTRABLE CUADRADO 180 x 180 AGREGADO</t>
  </si>
  <si>
    <t>ENCASTRABLE CUADRADO 200 x 200 AGREGADO</t>
  </si>
  <si>
    <t>RECTANGULAR CON BIES</t>
  </si>
  <si>
    <t>RECTANGULAR 160 x 80</t>
  </si>
  <si>
    <t>RECTANGULAR 170 x 120</t>
  </si>
  <si>
    <t>RECTANGULAR 220 x 140</t>
  </si>
  <si>
    <t>RECTANGULAR 300 x 180</t>
  </si>
  <si>
    <t>RECTANGULAR 400 x 200</t>
  </si>
  <si>
    <t>RECTANGULAR 1,70 X 1,20</t>
  </si>
  <si>
    <t>RECTANGULAR 2,40 X 1,40</t>
  </si>
  <si>
    <t>RECTANGULAR 2,50 X 1,60 agregado</t>
  </si>
  <si>
    <t>RECTANGULAR 2,80 x 1,80 agregado</t>
  </si>
  <si>
    <t>RECTANGULAR 3,60 x 1,80 agregado</t>
  </si>
  <si>
    <t>CUADRADO CON BIES</t>
  </si>
  <si>
    <t>CUADRADO 100 X 100</t>
  </si>
  <si>
    <t>CUADRADO 220 X 220 AGREGADO</t>
  </si>
  <si>
    <t>CUADRADO 250 X 250 AGREGADO</t>
  </si>
  <si>
    <t>CUADRADO 120 X 120</t>
  </si>
  <si>
    <t>CUADRADO 200 x 200 AGREGADO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</si>
</sst>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5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color theme="1"/>
      <name val="Arial"/>
    </font>
    <font>
      <b/>
      <color theme="1"/>
      <name val="Calibri"/>
    </font>
    <font>
      <color theme="1"/>
      <name val="Arial"/>
      <scheme val="minor"/>
    </font>
    <font>
      <color rgb="FF0070C0"/>
      <name val="Calibri"/>
    </font>
    <font>
      <b/>
      <color rgb="FF0070C0"/>
      <name val="Calibri"/>
    </font>
    <font>
      <color rgb="FF000000"/>
      <name val="Calibri"/>
    </font>
    <font>
      <color rgb="FFFFFFFF"/>
      <name val="Roboto"/>
    </font>
    <font>
      <color rgb="FF434343"/>
      <name val="Roboto"/>
    </font>
    <font>
      <color rgb="FF7030A0"/>
      <name val="Calibri"/>
    </font>
    <font>
      <color rgb="FFFF0000"/>
      <name val="Calibri"/>
    </font>
    <font>
      <b/>
      <u/>
      <color theme="1"/>
      <name val="Calibri"/>
    </font>
    <font>
      <b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AA9576"/>
        <bgColor rgb="FFAA9576"/>
      </patternFill>
    </fill>
    <fill>
      <patternFill patternType="solid">
        <fgColor rgb="FFFFFFFF"/>
        <bgColor rgb="FFFFFFFF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F6C3FF"/>
        <bgColor rgb="FFF6C3FF"/>
      </patternFill>
    </fill>
    <fill>
      <patternFill patternType="solid">
        <fgColor rgb="FFC6E0B4"/>
        <bgColor rgb="FFC6E0B4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3" fontId="3" numFmtId="0" xfId="0" applyAlignment="1" applyFill="1" applyFont="1">
      <alignment vertical="bottom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2" fillId="0" fontId="6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center" wrapText="0"/>
    </xf>
    <xf borderId="3" fillId="4" fontId="6" numFmtId="164" xfId="0" applyAlignment="1" applyBorder="1" applyFill="1" applyFont="1" applyNumberFormat="1">
      <alignment shrinkToFit="0" vertical="bottom" wrapText="0"/>
    </xf>
    <xf borderId="3" fillId="5" fontId="6" numFmtId="165" xfId="0" applyAlignment="1" applyBorder="1" applyFill="1" applyFont="1" applyNumberFormat="1">
      <alignment shrinkToFit="0" vertical="bottom" wrapText="0"/>
    </xf>
    <xf borderId="3" fillId="4" fontId="6" numFmtId="165" xfId="0" applyAlignment="1" applyBorder="1" applyFont="1" applyNumberFormat="1">
      <alignment shrinkToFit="0" vertical="bottom" wrapText="0"/>
    </xf>
    <xf borderId="3" fillId="0" fontId="7" numFmtId="165" xfId="0" applyAlignment="1" applyBorder="1" applyFont="1" applyNumberFormat="1">
      <alignment shrinkToFit="0" vertical="bottom" wrapText="0"/>
    </xf>
    <xf borderId="3" fillId="0" fontId="8" numFmtId="165" xfId="0" applyAlignment="1" applyBorder="1" applyFont="1" applyNumberFormat="1">
      <alignment readingOrder="0" shrinkToFit="0" vertical="bottom" wrapText="0"/>
    </xf>
    <xf borderId="3" fillId="0" fontId="8" numFmtId="0" xfId="0" applyAlignment="1" applyBorder="1" applyFont="1">
      <alignment readingOrder="0" shrinkToFit="0" vertical="bottom" wrapText="0"/>
    </xf>
    <xf borderId="0" fillId="3" fontId="3" numFmtId="164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3" fillId="0" fontId="3" numFmtId="165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4" numFmtId="165" xfId="0" applyAlignment="1" applyFont="1" applyNumberFormat="1">
      <alignment horizontal="center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4" fontId="2" numFmtId="164" xfId="0" applyAlignment="1" applyBorder="1" applyFont="1" applyNumberFormat="1">
      <alignment shrinkToFit="0" vertical="bottom" wrapText="0"/>
    </xf>
    <xf borderId="3" fillId="5" fontId="2" numFmtId="165" xfId="0" applyAlignment="1" applyBorder="1" applyFont="1" applyNumberFormat="1">
      <alignment shrinkToFit="0" vertical="bottom" wrapText="0"/>
    </xf>
    <xf borderId="3" fillId="4" fontId="2" numFmtId="165" xfId="0" applyAlignment="1" applyBorder="1" applyFont="1" applyNumberFormat="1">
      <alignment shrinkToFit="0" vertical="bottom" wrapText="0"/>
    </xf>
    <xf borderId="3" fillId="0" fontId="4" numFmtId="165" xfId="0" applyAlignment="1" applyBorder="1" applyFont="1" applyNumberFormat="1">
      <alignment shrinkToFit="0" vertical="bottom" wrapText="0"/>
    </xf>
    <xf borderId="4" fillId="6" fontId="9" numFmtId="0" xfId="0" applyAlignment="1" applyBorder="1" applyFill="1" applyFont="1">
      <alignment horizontal="left" readingOrder="0" shrinkToFit="0" vertical="center" wrapText="0"/>
    </xf>
    <xf borderId="3" fillId="3" fontId="10" numFmtId="0" xfId="0" applyAlignment="1" applyBorder="1" applyFont="1">
      <alignment shrinkToFit="0" vertical="center" wrapText="0"/>
    </xf>
    <xf borderId="3" fillId="7" fontId="10" numFmtId="0" xfId="0" applyAlignment="1" applyBorder="1" applyFill="1" applyFont="1">
      <alignment shrinkToFit="0" vertical="center" wrapText="0"/>
    </xf>
    <xf borderId="0" fillId="3" fontId="4" numFmtId="0" xfId="0" applyAlignment="1" applyFont="1">
      <alignment horizontal="center" vertical="bottom"/>
    </xf>
    <xf borderId="3" fillId="0" fontId="7" numFmtId="165" xfId="0" applyAlignment="1" applyBorder="1" applyFont="1" applyNumberFormat="1">
      <alignment horizontal="center" vertical="bottom"/>
    </xf>
    <xf borderId="3" fillId="5" fontId="2" numFmtId="165" xfId="0" applyAlignment="1" applyBorder="1" applyFont="1" applyNumberFormat="1">
      <alignment horizontal="right" shrinkToFit="0" vertical="bottom" wrapText="0"/>
    </xf>
    <xf borderId="3" fillId="4" fontId="2" numFmtId="165" xfId="0" applyAlignment="1" applyBorder="1" applyFont="1" applyNumberFormat="1">
      <alignment horizontal="center" shrinkToFit="0" vertical="bottom" wrapText="0"/>
    </xf>
    <xf borderId="3" fillId="5" fontId="2" numFmtId="164" xfId="0" applyAlignment="1" applyBorder="1" applyFont="1" applyNumberFormat="1">
      <alignment horizontal="right" shrinkToFit="0" vertical="bottom" wrapText="0"/>
    </xf>
    <xf borderId="3" fillId="4" fontId="2" numFmtId="164" xfId="0" applyAlignment="1" applyBorder="1" applyFont="1" applyNumberFormat="1">
      <alignment horizontal="center" shrinkToFit="0" vertical="bottom" wrapText="0"/>
    </xf>
    <xf borderId="2" fillId="0" fontId="11" numFmtId="0" xfId="0" applyAlignment="1" applyBorder="1" applyFont="1">
      <alignment shrinkToFit="0" vertical="bottom" wrapText="0"/>
    </xf>
    <xf borderId="3" fillId="8" fontId="4" numFmtId="165" xfId="0" applyAlignment="1" applyBorder="1" applyFill="1" applyFont="1" applyNumberFormat="1">
      <alignment shrinkToFit="0" vertical="bottom" wrapText="0"/>
    </xf>
    <xf borderId="2" fillId="0" fontId="12" numFmtId="0" xfId="0" applyAlignment="1" applyBorder="1" applyFont="1">
      <alignment shrinkToFit="0" vertical="bottom" wrapText="0"/>
    </xf>
    <xf borderId="3" fillId="5" fontId="6" numFmtId="165" xfId="0" applyAlignment="1" applyBorder="1" applyFont="1" applyNumberFormat="1">
      <alignment horizontal="right" shrinkToFit="0" vertical="bottom" wrapText="0"/>
    </xf>
    <xf borderId="3" fillId="4" fontId="6" numFmtId="165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vertical="bottom"/>
    </xf>
    <xf borderId="0" fillId="4" fontId="3" numFmtId="164" xfId="0" applyAlignment="1" applyFont="1" applyNumberFormat="1">
      <alignment vertical="bottom"/>
    </xf>
    <xf borderId="0" fillId="5" fontId="3" numFmtId="165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0" fontId="4" numFmtId="165" xfId="0" applyAlignment="1" applyFont="1" applyNumberFormat="1">
      <alignment horizontal="center" vertical="bottom"/>
    </xf>
    <xf borderId="2" fillId="8" fontId="2" numFmtId="0" xfId="0" applyAlignment="1" applyBorder="1" applyFont="1">
      <alignment shrinkToFit="0" vertical="bottom" wrapText="0"/>
    </xf>
    <xf borderId="3" fillId="3" fontId="10" numFmtId="0" xfId="0" applyAlignment="1" applyBorder="1" applyFont="1">
      <alignment horizontal="right" shrinkToFit="0" vertical="center" wrapText="0"/>
    </xf>
    <xf borderId="3" fillId="7" fontId="10" numFmtId="0" xfId="0" applyAlignment="1" applyBorder="1" applyFont="1">
      <alignment horizontal="right" shrinkToFit="0" vertical="center" wrapText="0"/>
    </xf>
    <xf borderId="2" fillId="8" fontId="6" numFmtId="0" xfId="0" applyAlignment="1" applyBorder="1" applyFont="1">
      <alignment shrinkToFit="0" vertical="bottom" wrapText="0"/>
    </xf>
    <xf borderId="3" fillId="8" fontId="7" numFmtId="165" xfId="0" applyAlignment="1" applyBorder="1" applyFont="1" applyNumberFormat="1">
      <alignment shrinkToFit="0" vertical="bottom" wrapText="0"/>
    </xf>
    <xf borderId="5" fillId="8" fontId="4" numFmtId="165" xfId="0" applyAlignment="1" applyBorder="1" applyFont="1" applyNumberFormat="1">
      <alignment shrinkToFit="0" vertical="bottom" wrapText="0"/>
    </xf>
    <xf borderId="5" fillId="0" fontId="7" numFmtId="165" xfId="0" applyAlignment="1" applyBorder="1" applyFont="1" applyNumberFormat="1">
      <alignment shrinkToFit="0" vertical="bottom" wrapText="0"/>
    </xf>
    <xf borderId="0" fillId="0" fontId="7" numFmtId="16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6" fillId="0" fontId="7" numFmtId="165" xfId="0" applyAlignment="1" applyBorder="1" applyFont="1" applyNumberFormat="1">
      <alignment horizontal="center" vertical="bottom"/>
    </xf>
    <xf borderId="0" fillId="3" fontId="4" numFmtId="165" xfId="0" applyAlignment="1" applyFont="1" applyNumberFormat="1">
      <alignment horizontal="center" vertical="bottom"/>
    </xf>
    <xf borderId="2" fillId="9" fontId="2" numFmtId="0" xfId="0" applyAlignment="1" applyBorder="1" applyFill="1" applyFont="1">
      <alignment shrinkToFit="0" vertical="bottom" wrapText="0"/>
    </xf>
    <xf borderId="3" fillId="9" fontId="4" numFmtId="165" xfId="0" applyAlignment="1" applyBorder="1" applyFont="1" applyNumberFormat="1">
      <alignment shrinkToFit="0" vertical="bottom" wrapText="0"/>
    </xf>
    <xf borderId="2" fillId="9" fontId="6" numFmtId="0" xfId="0" applyAlignment="1" applyBorder="1" applyFont="1">
      <alignment shrinkToFit="0" vertical="bottom" wrapText="0"/>
    </xf>
    <xf borderId="3" fillId="9" fontId="7" numFmtId="165" xfId="0" applyAlignment="1" applyBorder="1" applyFont="1" applyNumberFormat="1">
      <alignment shrinkToFit="0" vertical="bottom" wrapText="0"/>
    </xf>
    <xf borderId="3" fillId="0" fontId="8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left" readingOrder="0" shrinkToFit="0" vertical="bottom" wrapText="0"/>
    </xf>
    <xf borderId="2" fillId="10" fontId="6" numFmtId="0" xfId="0" applyAlignment="1" applyBorder="1" applyFill="1" applyFont="1">
      <alignment shrinkToFit="0" vertical="bottom" wrapText="0"/>
    </xf>
    <xf borderId="3" fillId="10" fontId="7" numFmtId="165" xfId="0" applyAlignment="1" applyBorder="1" applyFont="1" applyNumberFormat="1">
      <alignment shrinkToFit="0" vertical="bottom" wrapText="0"/>
    </xf>
    <xf borderId="2" fillId="10" fontId="2" numFmtId="0" xfId="0" applyAlignment="1" applyBorder="1" applyFont="1">
      <alignment shrinkToFit="0" vertical="bottom" wrapText="0"/>
    </xf>
    <xf borderId="3" fillId="5" fontId="6" numFmtId="164" xfId="0" applyAlignment="1" applyBorder="1" applyFont="1" applyNumberFormat="1">
      <alignment horizontal="right" shrinkToFit="0" vertical="bottom" wrapText="0"/>
    </xf>
    <xf borderId="3" fillId="4" fontId="6" numFmtId="164" xfId="0" applyAlignment="1" applyBorder="1" applyFont="1" applyNumberFormat="1">
      <alignment horizontal="center" shrinkToFit="0" vertical="bottom" wrapText="0"/>
    </xf>
    <xf borderId="0" fillId="0" fontId="1" numFmtId="0" xfId="0" applyAlignment="1" applyFont="1">
      <alignment horizontal="center" vertical="bottom"/>
    </xf>
    <xf borderId="3" fillId="0" fontId="7" numFmtId="165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horizontal="right" vertical="bottom"/>
    </xf>
    <xf borderId="0" fillId="0" fontId="12" numFmtId="164" xfId="0" applyAlignment="1" applyFont="1" applyNumberForma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1" fillId="11" fontId="1" numFmtId="0" xfId="0" applyAlignment="1" applyBorder="1" applyFill="1" applyFont="1">
      <alignment horizontal="center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3" fillId="0" fontId="2" numFmtId="0" xfId="0" applyAlignment="1" applyBorder="1" applyFont="1">
      <alignment shrinkToFit="0" vertical="bottom" wrapText="0"/>
    </xf>
    <xf borderId="3" fillId="5" fontId="2" numFmtId="164" xfId="0" applyAlignment="1" applyBorder="1" applyFont="1" applyNumberFormat="1">
      <alignment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horizontal="left" readingOrder="0" shrinkToFit="0" vertical="center" wrapText="0"/>
    </xf>
    <xf borderId="3" fillId="9" fontId="2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center" wrapText="0"/>
    </xf>
    <xf borderId="5" fillId="0" fontId="7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J9" displayName="REDONDOS_CON_BIES" name="REDONDOS_CON_BIES" id="1">
  <tableColumns count="10">
    <tableColumn name="REDONDOS CON BIES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VALOR TRANSFERENCIA " id="8"/>
    <tableColumn name="Tamaño" id="9"/>
    <tableColumn name="Tipo" id="10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2:J19" displayName="REDONDO_SIMIL_LINO_FLECOS" name="REDONDO_SIMIL_LINO_FLECOS" id="2">
  <tableColumns count="10">
    <tableColumn name="REDONDO SIMIL LINO FLECOS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IG" id="8"/>
    <tableColumn name="Tamaño" id="9"/>
    <tableColumn name="Tipo" id="10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A22:J35" displayName="TEXTURADO_SIMIL_LINO_AJUSTABLE" name="TEXTURADO_SIMIL_LINO_AJUSTABLE" id="3">
  <tableColumns count="10">
    <tableColumn name="TEXTURADO SIMIL LINO AJUSTABLE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IG" id="8"/>
    <tableColumn name="Tamaño" id="9"/>
    <tableColumn name="Tipo" id="10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A39:J48" displayName="ENCASTRABLE_MESA_REDONDA_CON_BIES" name="ENCASTRABLE_MESA_REDONDA_CON_BIES" id="4">
  <tableColumns count="10">
    <tableColumn name="ENCASTRABLE MESA REDONDA CON BIES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IG" id="8"/>
    <tableColumn name="Tamaño" id="9"/>
    <tableColumn name="Tipo" id="10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A50:J60" displayName="ENCASTRABLE_MESA_REDONDA_CON_FLECOS" name="ENCASTRABLE_MESA_REDONDA_CON_FLECOS" id="5">
  <tableColumns count="10">
    <tableColumn name="ENCASTRABLE MESA REDONDA CON FLECOS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IG" id="8"/>
    <tableColumn name="Tamaño" id="9"/>
    <tableColumn name="Tipo" id="10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A63:K149" displayName="ENCASTRABLE_MESA_RECTANGULAR" name="ENCASTRABLE_MESA_RECTANGULAR" id="6">
  <tableColumns count="11">
    <tableColumn name="ENCASTRABLE MESA RECTANGULAR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153:K178" displayName="ENCASTRABLE_CON_FLECOS_PARA_MESA_RECTANGULAR" name="ENCASTRABLE_CON_FLECOS_PARA_MESA_RECTANGULAR" id="7">
  <tableColumns count="11">
    <tableColumn name="ENCASTRABLE CON FLECOS PARA MESA RECTANGULAR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A186:K201" displayName="ENCASTRABLE_MESA_CUADRADA" name="ENCASTRABLE_MESA_CUADRADA" id="8">
  <tableColumns count="11">
    <tableColumn name="ENCASTRABLE MESA CUADRADA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A204:K214" displayName="ENCASTRABLE_CON_FLECOS_PARA_MESA_CUADRADA" name="ENCASTRABLE_CON_FLECOS_PARA_MESA_CUADRADA" id="9">
  <tableColumns count="11">
    <tableColumn name="ENCASTRABLE CON FLECOS PARA MESA CUADRADA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ref="A216:K225" displayName="RECTANGULAR_SIMIL_LINO_CON_BIES" name="RECTANGULAR_SIMIL_LINO_CON_BIES" id="10">
  <tableColumns count="11">
    <tableColumn name="RECTANGULAR SIMIL LINO CON BIE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ref="A228:K249" displayName="MANTEL_RECTANGULAR_CON_FLECOS" name="MANTEL_RECTANGULAR_CON_FLECOS" id="11">
  <tableColumns count="11">
    <tableColumn name="MANTEL RECTANGULAR CON FLECO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ref="A252:K257" displayName="CUADRADO_TEXTURADO_SIMIL_LINO_BIES" name="CUADRADO_TEXTURADO_SIMIL_LINO_BIES" id="12">
  <tableColumns count="11">
    <tableColumn name="CUADRADO TEXTURADO SIMIL LINO BIE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12" showColumnStripes="0" showFirstColumn="1" showLastColumn="1" showRowStripes="1"/>
</table>
</file>

<file path=xl/tables/table13.xml><?xml version="1.0" encoding="utf-8"?>
<table xmlns="http://schemas.openxmlformats.org/spreadsheetml/2006/main" ref="A260:K264" displayName="MANTEL_CUADRADO_CON_FLECOS" name="MANTEL_CUADRADO_CON_FLECOS" id="13">
  <tableColumns count="11">
    <tableColumn name="MANTEL CUADRADO CON FLECO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VALOR FINAL " id="8"/>
    <tableColumn name="IG" id="9"/>
    <tableColumn name="Tamaño" id="10"/>
    <tableColumn name="Tipo" id="11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A4:J10" displayName="REDONDOS_CON_BIES_tapir" name="REDONDOS_CON_BIES_tapir" id="14">
  <tableColumns count="10">
    <tableColumn name="REDONDOS CON BIES" id="1"/>
    <tableColumn name="Diametro" id="2"/>
    <tableColumn name="Agregado" id="3"/>
    <tableColumn name="COSTO PRODUCCION" id="4"/>
    <tableColumn name="TOTAL IMPUESTOS Y COMISIONES" id="5"/>
    <tableColumn name="TOTAL" id="6"/>
    <tableColumn name="VALOR FINAL " id="7"/>
    <tableColumn name="VALOR TRANSFERENCIA " id="8"/>
    <tableColumn name="Tamaño" id="9"/>
    <tableColumn name="Tipo" id="10"/>
  </tableColumns>
  <tableStyleInfo name="Hoja 2-style" showColumnStripes="0" showFirstColumn="1" showLastColumn="1" showRowStripes="1"/>
</table>
</file>

<file path=xl/tables/table15.xml><?xml version="1.0" encoding="utf-8"?>
<table xmlns="http://schemas.openxmlformats.org/spreadsheetml/2006/main" ref="A13:J17" displayName="REDONDO_CON_FLECOS_tapir" name="REDONDO_CON_FLECOS_tapir" id="15">
  <tableColumns count="10">
    <tableColumn name="REDONDO CON FLECOS" id="1"/>
    <tableColumn name="Diametro" id="2"/>
    <tableColumn name="Agregado" id="3"/>
    <tableColumn name="COSTO PRODUCCION" id="4"/>
    <tableColumn name="TOTAL IMPUESTOS Y COMISIONES" id="5"/>
    <tableColumn name="TOTAL" id="6"/>
    <tableColumn name="Columna 1" id="7"/>
    <tableColumn name="IG" id="8"/>
    <tableColumn name="Tamaño" id="9"/>
    <tableColumn name="Tipo" id="10"/>
  </tableColumns>
  <tableStyleInfo name="Hoja 2-style 2" showColumnStripes="0" showFirstColumn="1" showLastColumn="1" showRowStripes="1"/>
</table>
</file>

<file path=xl/tables/table16.xml><?xml version="1.0" encoding="utf-8"?>
<table xmlns="http://schemas.openxmlformats.org/spreadsheetml/2006/main" ref="A20:J35" displayName="REDONDO_AJUSTABLE_tapir" name="REDONDO_AJUSTABLE_tapir" id="16">
  <tableColumns count="10">
    <tableColumn name="REDONDO AJUSTABLE" id="1"/>
    <tableColumn name="Diametro" id="2"/>
    <tableColumn name="Agregado" id="3"/>
    <tableColumn name="COSTO PRODUCCION" id="4"/>
    <tableColumn name="TOTAL IMPUESTOS Y COMISIONES" id="5"/>
    <tableColumn name="TOTAL" id="6"/>
    <tableColumn name="Columna 1" id="7"/>
    <tableColumn name="IG" id="8"/>
    <tableColumn name="Tamaño" id="9"/>
    <tableColumn name="Tipo" id="10"/>
  </tableColumns>
  <tableStyleInfo name="Hoja 2-style 3" showColumnStripes="0" showFirstColumn="1" showLastColumn="1" showRowStripes="1"/>
</table>
</file>

<file path=xl/tables/table17.xml><?xml version="1.0" encoding="utf-8"?>
<table xmlns="http://schemas.openxmlformats.org/spreadsheetml/2006/main" ref="A39:J47" displayName="ENCASTRABLE_MESA_REDONDA_CON_BIES_tapir" name="ENCASTRABLE_MESA_REDONDA_CON_BIES_tapir" id="17">
  <tableColumns count="10">
    <tableColumn name="ENCASTRABLE MESA REDONDA CON BIES" id="1"/>
    <tableColumn name="Diametro" id="2"/>
    <tableColumn name="Agregado" id="3"/>
    <tableColumn name="COSTO PRODUCCION" id="4"/>
    <tableColumn name="TOTAL IMPUESTOS Y COMISIONES" id="5"/>
    <tableColumn name="TOTAL" id="6"/>
    <tableColumn name="Columna 1" id="7"/>
    <tableColumn name="IG" id="8"/>
    <tableColumn name="Tamaño" id="9"/>
    <tableColumn name="Tipo" id="10"/>
  </tableColumns>
  <tableStyleInfo name="Hoja 2-style 4" showColumnStripes="0" showFirstColumn="1" showLastColumn="1" showRowStripes="1"/>
</table>
</file>

<file path=xl/tables/table18.xml><?xml version="1.0" encoding="utf-8"?>
<table xmlns="http://schemas.openxmlformats.org/spreadsheetml/2006/main" ref="A50:K116" displayName="ENCASTRABLE_MESA_RECTANGULAR_tapir" name="ENCASTRABLE_MESA_RECTANGULAR_tapir" id="18">
  <tableColumns count="11">
    <tableColumn name="ENCASTRABLE MESA RECTANGULAR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5" showColumnStripes="0" showFirstColumn="1" showLastColumn="1" showRowStripes="1"/>
</table>
</file>

<file path=xl/tables/table19.xml><?xml version="1.0" encoding="utf-8"?>
<table xmlns="http://schemas.openxmlformats.org/spreadsheetml/2006/main" ref="A120:K139" displayName="ENCASTRABLE_MESA_CUADRADA_tapir" name="ENCASTRABLE_MESA_CUADRADA_tapir" id="19">
  <tableColumns count="11">
    <tableColumn name="ENCASTRABLE MESA CUADRADA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6" showColumnStripes="0" showFirstColumn="1" showLastColumn="1" showRowStripes="1"/>
</table>
</file>

<file path=xl/tables/table20.xml><?xml version="1.0" encoding="utf-8"?>
<table xmlns="http://schemas.openxmlformats.org/spreadsheetml/2006/main" ref="A142:K151" displayName="RECTANGULAR_CON_BIES_tapir" name="RECTANGULAR_CON_BIES_tapir" id="20">
  <tableColumns count="11">
    <tableColumn name="RECTANGULAR CON BIE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7" showColumnStripes="0" showFirstColumn="1" showLastColumn="1" showRowStripes="1"/>
</table>
</file>

<file path=xl/tables/table21.xml><?xml version="1.0" encoding="utf-8"?>
<table xmlns="http://schemas.openxmlformats.org/spreadsheetml/2006/main" ref="A154:K164" displayName="MANTEL_RECTANGULAR_CON_FLECOS_tapir" name="MANTEL_RECTANGULAR_CON_FLECOS_tapir" id="21">
  <tableColumns count="11">
    <tableColumn name="MANTEL RECTANGULAR CON FLECO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8" showColumnStripes="0" showFirstColumn="1" showLastColumn="1" showRowStripes="1"/>
</table>
</file>

<file path=xl/tables/table22.xml><?xml version="1.0" encoding="utf-8"?>
<table xmlns="http://schemas.openxmlformats.org/spreadsheetml/2006/main" ref="A167:K174" displayName="CUADRADO_CON_BIES_" name="CUADRADO_CON_BIES_" id="22">
  <tableColumns count="11">
    <tableColumn name="CUADRADO CON BIE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9" showColumnStripes="0" showFirstColumn="1" showLastColumn="1" showRowStripes="1"/>
</table>
</file>

<file path=xl/tables/table23.xml><?xml version="1.0" encoding="utf-8"?>
<table xmlns="http://schemas.openxmlformats.org/spreadsheetml/2006/main" ref="A177:K183" displayName="MANTEL_CUADRADO_CON_FLECOS_tapir" name="MANTEL_CUADRADO_CON_FLECOS_tapir" id="23">
  <tableColumns count="11">
    <tableColumn name="MANTEL CUADRADO CON FLECOS" id="1"/>
    <tableColumn name="Ancho" id="2"/>
    <tableColumn name="Largo" id="3"/>
    <tableColumn name="Agregado" id="4"/>
    <tableColumn name="COSTO PRODUCCION" id="5"/>
    <tableColumn name="TOTAL IMPUESTOS Y COMISIONES" id="6"/>
    <tableColumn name="TOTAL" id="7"/>
    <tableColumn name="Columna 1" id="8"/>
    <tableColumn name="IG" id="9"/>
    <tableColumn name="Tamaño" id="10"/>
    <tableColumn name="Tipo" id="11"/>
  </tableColumns>
  <tableStyleInfo name="Hoja 2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2.xml"/><Relationship Id="rId21" Type="http://schemas.openxmlformats.org/officeDocument/2006/relationships/table" Target="../tables/table23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1" Type="http://schemas.openxmlformats.org/officeDocument/2006/relationships/drawing" Target="../drawings/drawing2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12.75"/>
    <col customWidth="1" min="3" max="3" width="23.0"/>
    <col customWidth="1" min="4" max="4" width="31.63"/>
    <col customWidth="1" min="5" max="5" width="13.0"/>
    <col customWidth="1" min="6" max="6" width="18.13"/>
    <col customWidth="1" min="7" max="7" width="25.63"/>
  </cols>
  <sheetData>
    <row r="2">
      <c r="A2" s="1" t="s">
        <v>0</v>
      </c>
    </row>
    <row r="3">
      <c r="A3" s="2"/>
      <c r="B3" s="3"/>
      <c r="C3" s="2"/>
      <c r="D3" s="4"/>
      <c r="E3" s="5"/>
      <c r="F3" s="6"/>
      <c r="G3" s="6"/>
      <c r="K3" s="7"/>
    </row>
    <row r="4" ht="22.5" customHeight="1">
      <c r="A4" s="8" t="s">
        <v>1</v>
      </c>
      <c r="B4" s="9" t="s">
        <v>2</v>
      </c>
      <c r="C4" s="10" t="s">
        <v>3</v>
      </c>
      <c r="D4" s="8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0" t="s">
        <v>10</v>
      </c>
      <c r="K4" s="7"/>
    </row>
    <row r="5" ht="22.5" customHeight="1">
      <c r="A5" s="14" t="s">
        <v>11</v>
      </c>
      <c r="B5" s="15">
        <v>140.0</v>
      </c>
      <c r="C5" s="15" t="s">
        <v>12</v>
      </c>
      <c r="D5" s="16">
        <v>11990.0</v>
      </c>
      <c r="E5" s="17">
        <v>22935.78</v>
      </c>
      <c r="F5" s="18">
        <v>34925.78</v>
      </c>
      <c r="G5" s="19">
        <v>54522.93000000001</v>
      </c>
      <c r="H5" s="19">
        <f t="shared" ref="H5:H9" si="1">G5*0.9</f>
        <v>49070.637</v>
      </c>
      <c r="I5" s="20" t="s">
        <v>13</v>
      </c>
      <c r="J5" s="21" t="s">
        <v>14</v>
      </c>
      <c r="K5" s="7"/>
    </row>
    <row r="6" ht="22.5" customHeight="1">
      <c r="A6" s="14" t="s">
        <v>15</v>
      </c>
      <c r="B6" s="15">
        <v>160.0</v>
      </c>
      <c r="C6" s="15" t="s">
        <v>12</v>
      </c>
      <c r="D6" s="16">
        <v>13700.0</v>
      </c>
      <c r="E6" s="17">
        <v>23501.95</v>
      </c>
      <c r="F6" s="18">
        <v>37201.95</v>
      </c>
      <c r="G6" s="19">
        <v>56548.80000000001</v>
      </c>
      <c r="H6" s="19">
        <f t="shared" si="1"/>
        <v>50893.92</v>
      </c>
      <c r="I6" s="20" t="s">
        <v>13</v>
      </c>
      <c r="J6" s="21" t="s">
        <v>14</v>
      </c>
      <c r="K6" s="7"/>
    </row>
    <row r="7" ht="22.5" customHeight="1">
      <c r="A7" s="14" t="s">
        <v>16</v>
      </c>
      <c r="B7" s="15">
        <v>180.0</v>
      </c>
      <c r="C7" s="15" t="s">
        <v>12</v>
      </c>
      <c r="D7" s="16">
        <v>17060.0</v>
      </c>
      <c r="E7" s="17">
        <v>25767.51</v>
      </c>
      <c r="F7" s="18">
        <v>42827.51</v>
      </c>
      <c r="G7" s="19">
        <v>64656.90000000001</v>
      </c>
      <c r="H7" s="19">
        <f t="shared" si="1"/>
        <v>58191.21</v>
      </c>
      <c r="I7" s="20" t="s">
        <v>13</v>
      </c>
      <c r="J7" s="21" t="s">
        <v>14</v>
      </c>
      <c r="K7" s="7"/>
    </row>
    <row r="8" ht="22.5" customHeight="1">
      <c r="A8" s="14" t="s">
        <v>17</v>
      </c>
      <c r="B8" s="15">
        <v>200.0</v>
      </c>
      <c r="C8" s="15" t="s">
        <v>12</v>
      </c>
      <c r="D8" s="16">
        <v>19490.0</v>
      </c>
      <c r="E8" s="17">
        <v>27466.9</v>
      </c>
      <c r="F8" s="18">
        <v>46956.9</v>
      </c>
      <c r="G8" s="19">
        <v>70737.975</v>
      </c>
      <c r="H8" s="19">
        <f t="shared" si="1"/>
        <v>63664.1775</v>
      </c>
      <c r="I8" s="20" t="s">
        <v>13</v>
      </c>
      <c r="J8" s="21" t="s">
        <v>14</v>
      </c>
      <c r="K8" s="7"/>
    </row>
    <row r="9" ht="22.5" customHeight="1">
      <c r="A9" s="14" t="s">
        <v>18</v>
      </c>
      <c r="B9" s="15">
        <v>250.0</v>
      </c>
      <c r="C9" s="15" t="s">
        <v>12</v>
      </c>
      <c r="D9" s="16">
        <v>24910.0</v>
      </c>
      <c r="E9" s="17">
        <v>31067.1</v>
      </c>
      <c r="F9" s="18">
        <v>55977.1</v>
      </c>
      <c r="G9" s="19">
        <v>83622.0</v>
      </c>
      <c r="H9" s="19">
        <f t="shared" si="1"/>
        <v>75259.8</v>
      </c>
      <c r="I9" s="20" t="s">
        <v>13</v>
      </c>
      <c r="J9" s="21" t="s">
        <v>14</v>
      </c>
      <c r="K9" s="7"/>
    </row>
    <row r="10">
      <c r="A10" s="7"/>
      <c r="C10" s="22"/>
      <c r="D10" s="23"/>
      <c r="E10" s="23"/>
      <c r="F10" s="7"/>
      <c r="G10" s="24"/>
      <c r="K10" s="7"/>
    </row>
    <row r="11">
      <c r="A11" s="7"/>
      <c r="C11" s="22"/>
      <c r="D11" s="23"/>
      <c r="E11" s="23"/>
      <c r="F11" s="7"/>
      <c r="G11" s="24"/>
      <c r="K11" s="7"/>
    </row>
    <row r="12" ht="22.5" customHeight="1">
      <c r="A12" s="8" t="s">
        <v>19</v>
      </c>
      <c r="B12" s="9" t="s">
        <v>2</v>
      </c>
      <c r="C12" s="10" t="s">
        <v>3</v>
      </c>
      <c r="D12" s="25" t="s">
        <v>4</v>
      </c>
      <c r="E12" s="26" t="s">
        <v>5</v>
      </c>
      <c r="F12" s="27" t="s">
        <v>6</v>
      </c>
      <c r="G12" s="12" t="s">
        <v>7</v>
      </c>
      <c r="H12" s="12" t="s">
        <v>20</v>
      </c>
      <c r="I12" s="13" t="s">
        <v>9</v>
      </c>
      <c r="J12" s="10" t="s">
        <v>10</v>
      </c>
      <c r="K12" s="7"/>
    </row>
    <row r="13" ht="22.5" customHeight="1">
      <c r="A13" s="28" t="s">
        <v>21</v>
      </c>
      <c r="B13" s="15">
        <v>120.0</v>
      </c>
      <c r="C13" s="15" t="s">
        <v>22</v>
      </c>
      <c r="D13" s="29">
        <v>12280.0</v>
      </c>
      <c r="E13" s="30">
        <v>22607.38</v>
      </c>
      <c r="F13" s="31">
        <v>34887.38</v>
      </c>
      <c r="G13" s="32">
        <v>53348.295000000006</v>
      </c>
      <c r="H13" s="19">
        <f t="shared" ref="H13:H19" si="2">G13*0.9</f>
        <v>48013.4655</v>
      </c>
      <c r="I13" s="20" t="s">
        <v>13</v>
      </c>
      <c r="J13" s="21" t="s">
        <v>14</v>
      </c>
      <c r="K13" s="7"/>
    </row>
    <row r="14" ht="22.5" customHeight="1">
      <c r="A14" s="14" t="s">
        <v>23</v>
      </c>
      <c r="B14" s="15">
        <v>140.0</v>
      </c>
      <c r="C14" s="15" t="s">
        <v>22</v>
      </c>
      <c r="D14" s="16">
        <v>13400.0</v>
      </c>
      <c r="E14" s="17">
        <v>23101.06</v>
      </c>
      <c r="F14" s="18">
        <v>36501.06</v>
      </c>
      <c r="G14" s="19">
        <v>55114.29000000001</v>
      </c>
      <c r="H14" s="19">
        <f t="shared" si="2"/>
        <v>49602.861</v>
      </c>
      <c r="I14" s="20" t="s">
        <v>13</v>
      </c>
      <c r="J14" s="21" t="s">
        <v>14</v>
      </c>
      <c r="K14" s="7"/>
    </row>
    <row r="15" ht="22.5" customHeight="1">
      <c r="A15" s="14" t="s">
        <v>24</v>
      </c>
      <c r="B15" s="15">
        <v>160.0</v>
      </c>
      <c r="C15" s="15" t="s">
        <v>22</v>
      </c>
      <c r="D15" s="16">
        <v>16380.0</v>
      </c>
      <c r="E15" s="17">
        <v>24746.07</v>
      </c>
      <c r="F15" s="18">
        <v>41126.07</v>
      </c>
      <c r="G15" s="19">
        <v>61001.32500000001</v>
      </c>
      <c r="H15" s="19">
        <f t="shared" si="2"/>
        <v>54901.1925</v>
      </c>
      <c r="I15" s="20" t="s">
        <v>13</v>
      </c>
      <c r="J15" s="21" t="s">
        <v>14</v>
      </c>
      <c r="K15" s="7"/>
    </row>
    <row r="16" ht="22.5" customHeight="1">
      <c r="A16" s="14" t="s">
        <v>25</v>
      </c>
      <c r="B16" s="15">
        <v>180.0</v>
      </c>
      <c r="C16" s="15" t="s">
        <v>22</v>
      </c>
      <c r="D16" s="16">
        <v>18620.0</v>
      </c>
      <c r="E16" s="17">
        <v>25493.49</v>
      </c>
      <c r="F16" s="18">
        <v>44113.49</v>
      </c>
      <c r="G16" s="19">
        <v>63676.30500000001</v>
      </c>
      <c r="H16" s="19">
        <f t="shared" si="2"/>
        <v>57308.6745</v>
      </c>
      <c r="I16" s="20" t="s">
        <v>13</v>
      </c>
      <c r="J16" s="21" t="s">
        <v>14</v>
      </c>
      <c r="K16" s="7"/>
    </row>
    <row r="17" ht="22.5" customHeight="1">
      <c r="A17" s="14" t="s">
        <v>26</v>
      </c>
      <c r="B17" s="15">
        <v>200.0</v>
      </c>
      <c r="C17" s="15" t="s">
        <v>22</v>
      </c>
      <c r="D17" s="16">
        <v>21200.0</v>
      </c>
      <c r="E17" s="17">
        <v>28044.72</v>
      </c>
      <c r="F17" s="18">
        <v>49244.72</v>
      </c>
      <c r="G17" s="19">
        <v>72806.58000000002</v>
      </c>
      <c r="H17" s="19">
        <f t="shared" si="2"/>
        <v>65525.922</v>
      </c>
      <c r="I17" s="20" t="s">
        <v>13</v>
      </c>
      <c r="J17" s="21" t="s">
        <v>14</v>
      </c>
      <c r="K17" s="7"/>
    </row>
    <row r="18" ht="22.5" customHeight="1">
      <c r="A18" s="28" t="s">
        <v>27</v>
      </c>
      <c r="B18" s="15">
        <v>230.0</v>
      </c>
      <c r="C18" s="15" t="s">
        <v>22</v>
      </c>
      <c r="D18" s="29">
        <v>26920.0</v>
      </c>
      <c r="E18" s="30">
        <v>33346.13</v>
      </c>
      <c r="F18" s="31">
        <v>60266.13</v>
      </c>
      <c r="G18" s="32">
        <v>91777.45500000002</v>
      </c>
      <c r="H18" s="19">
        <f t="shared" si="2"/>
        <v>82599.7095</v>
      </c>
      <c r="I18" s="20" t="s">
        <v>13</v>
      </c>
      <c r="J18" s="21" t="s">
        <v>14</v>
      </c>
      <c r="K18" s="7"/>
    </row>
    <row r="19" ht="22.5" customHeight="1">
      <c r="A19" s="14" t="s">
        <v>28</v>
      </c>
      <c r="B19" s="15">
        <v>250.0</v>
      </c>
      <c r="C19" s="15" t="s">
        <v>22</v>
      </c>
      <c r="D19" s="16">
        <v>30060.0</v>
      </c>
      <c r="E19" s="17">
        <v>33584.55</v>
      </c>
      <c r="F19" s="18">
        <v>63644.55</v>
      </c>
      <c r="G19" s="19">
        <v>92631.0</v>
      </c>
      <c r="H19" s="19">
        <f t="shared" si="2"/>
        <v>83367.9</v>
      </c>
      <c r="I19" s="20" t="s">
        <v>13</v>
      </c>
      <c r="J19" s="21" t="s">
        <v>14</v>
      </c>
      <c r="K19" s="7"/>
    </row>
    <row r="20">
      <c r="A20" s="7"/>
      <c r="C20" s="22"/>
      <c r="D20" s="23"/>
      <c r="E20" s="23"/>
      <c r="F20" s="7"/>
      <c r="G20" s="24"/>
      <c r="K20" s="7"/>
    </row>
    <row r="21">
      <c r="A21" s="7"/>
      <c r="C21" s="22"/>
      <c r="D21" s="23"/>
      <c r="E21" s="23"/>
      <c r="F21" s="7"/>
      <c r="G21" s="24"/>
      <c r="K21" s="7"/>
    </row>
    <row r="22" ht="22.5" customHeight="1">
      <c r="A22" s="8" t="s">
        <v>29</v>
      </c>
      <c r="B22" s="9" t="s">
        <v>2</v>
      </c>
      <c r="C22" s="33" t="s">
        <v>3</v>
      </c>
      <c r="D22" s="25" t="s">
        <v>4</v>
      </c>
      <c r="E22" s="26" t="s">
        <v>5</v>
      </c>
      <c r="F22" s="27" t="s">
        <v>6</v>
      </c>
      <c r="G22" s="12" t="s">
        <v>7</v>
      </c>
      <c r="H22" s="12" t="s">
        <v>20</v>
      </c>
      <c r="I22" s="13" t="s">
        <v>9</v>
      </c>
      <c r="J22" s="10" t="s">
        <v>10</v>
      </c>
      <c r="K22" s="7"/>
    </row>
    <row r="23" ht="22.5" customHeight="1">
      <c r="A23" s="28" t="s">
        <v>30</v>
      </c>
      <c r="B23" s="15">
        <v>50.0</v>
      </c>
      <c r="C23" s="34" t="s">
        <v>31</v>
      </c>
      <c r="D23" s="29">
        <v>6440.0</v>
      </c>
      <c r="E23" s="30">
        <v>11851.29</v>
      </c>
      <c r="F23" s="31">
        <v>18291.29</v>
      </c>
      <c r="G23" s="32">
        <v>26414.850000000006</v>
      </c>
      <c r="H23" s="19">
        <f t="shared" ref="H23:H35" si="3">G23*0.9</f>
        <v>23773.365</v>
      </c>
      <c r="I23" s="20" t="s">
        <v>13</v>
      </c>
      <c r="J23" s="21" t="s">
        <v>32</v>
      </c>
      <c r="K23" s="7"/>
    </row>
    <row r="24" ht="22.5" customHeight="1">
      <c r="A24" s="28" t="s">
        <v>33</v>
      </c>
      <c r="B24" s="15">
        <v>60.0</v>
      </c>
      <c r="C24" s="35" t="s">
        <v>31</v>
      </c>
      <c r="D24" s="29">
        <v>7110.0</v>
      </c>
      <c r="E24" s="30">
        <v>12258.93</v>
      </c>
      <c r="F24" s="31">
        <v>19368.93</v>
      </c>
      <c r="G24" s="32">
        <v>37164.435000000005</v>
      </c>
      <c r="H24" s="19">
        <f t="shared" si="3"/>
        <v>33447.9915</v>
      </c>
      <c r="I24" s="20" t="s">
        <v>13</v>
      </c>
      <c r="J24" s="21" t="s">
        <v>32</v>
      </c>
      <c r="K24" s="7"/>
    </row>
    <row r="25" ht="22.5" customHeight="1">
      <c r="A25" s="28" t="s">
        <v>34</v>
      </c>
      <c r="B25" s="15">
        <v>70.0</v>
      </c>
      <c r="C25" s="34" t="s">
        <v>31</v>
      </c>
      <c r="D25" s="29">
        <v>7670.0</v>
      </c>
      <c r="E25" s="30">
        <v>16285.15</v>
      </c>
      <c r="F25" s="31">
        <v>23955.15</v>
      </c>
      <c r="G25" s="32">
        <v>41056.785</v>
      </c>
      <c r="H25" s="19">
        <f t="shared" si="3"/>
        <v>36951.1065</v>
      </c>
      <c r="I25" s="20" t="s">
        <v>13</v>
      </c>
      <c r="J25" s="21" t="s">
        <v>32</v>
      </c>
      <c r="K25" s="7"/>
    </row>
    <row r="26" ht="22.5" customHeight="1">
      <c r="A26" s="14" t="s">
        <v>35</v>
      </c>
      <c r="B26" s="15">
        <v>80.0</v>
      </c>
      <c r="C26" s="35" t="s">
        <v>31</v>
      </c>
      <c r="D26" s="16">
        <v>8230.0</v>
      </c>
      <c r="E26" s="17">
        <v>17935.69</v>
      </c>
      <c r="F26" s="18">
        <v>26165.69</v>
      </c>
      <c r="G26" s="19">
        <v>48839.17500000001</v>
      </c>
      <c r="H26" s="19">
        <f t="shared" si="3"/>
        <v>43955.2575</v>
      </c>
      <c r="I26" s="20" t="s">
        <v>13</v>
      </c>
      <c r="J26" s="21" t="s">
        <v>32</v>
      </c>
      <c r="K26" s="7"/>
    </row>
    <row r="27" ht="22.5" customHeight="1">
      <c r="A27" s="14" t="s">
        <v>36</v>
      </c>
      <c r="B27" s="15">
        <v>90.0</v>
      </c>
      <c r="C27" s="34" t="s">
        <v>31</v>
      </c>
      <c r="D27" s="16">
        <v>8900.0</v>
      </c>
      <c r="E27" s="17">
        <v>18343.65</v>
      </c>
      <c r="F27" s="18">
        <v>27243.65</v>
      </c>
      <c r="G27" s="19">
        <v>50785.35000000001</v>
      </c>
      <c r="H27" s="19">
        <f t="shared" si="3"/>
        <v>45706.815</v>
      </c>
      <c r="I27" s="20" t="s">
        <v>13</v>
      </c>
      <c r="J27" s="21" t="s">
        <v>32</v>
      </c>
      <c r="K27" s="7"/>
    </row>
    <row r="28" ht="22.5" customHeight="1">
      <c r="A28" s="14" t="s">
        <v>37</v>
      </c>
      <c r="B28" s="15">
        <v>100.0</v>
      </c>
      <c r="C28" s="35" t="s">
        <v>31</v>
      </c>
      <c r="D28" s="16">
        <v>9460.0</v>
      </c>
      <c r="E28" s="17">
        <v>18751.28</v>
      </c>
      <c r="F28" s="18">
        <v>28211.28</v>
      </c>
      <c r="G28" s="19">
        <v>52731.52500000001</v>
      </c>
      <c r="H28" s="19">
        <f t="shared" si="3"/>
        <v>47458.3725</v>
      </c>
      <c r="I28" s="20" t="s">
        <v>13</v>
      </c>
      <c r="J28" s="21" t="s">
        <v>32</v>
      </c>
      <c r="K28" s="7"/>
    </row>
    <row r="29" ht="22.5" customHeight="1">
      <c r="A29" s="14" t="s">
        <v>38</v>
      </c>
      <c r="B29" s="15">
        <v>110.0</v>
      </c>
      <c r="C29" s="34" t="s">
        <v>31</v>
      </c>
      <c r="D29" s="16">
        <v>10020.0</v>
      </c>
      <c r="E29" s="17">
        <v>19159.24</v>
      </c>
      <c r="F29" s="18">
        <v>29179.24</v>
      </c>
      <c r="G29" s="19">
        <v>54676.545000000006</v>
      </c>
      <c r="H29" s="19">
        <f t="shared" si="3"/>
        <v>49208.8905</v>
      </c>
      <c r="I29" s="20" t="s">
        <v>13</v>
      </c>
      <c r="J29" s="21" t="s">
        <v>32</v>
      </c>
      <c r="K29" s="7"/>
    </row>
    <row r="30" ht="22.5" customHeight="1">
      <c r="A30" s="14" t="s">
        <v>39</v>
      </c>
      <c r="B30" s="15">
        <v>120.0</v>
      </c>
      <c r="C30" s="35" t="s">
        <v>31</v>
      </c>
      <c r="D30" s="16">
        <v>11250.0</v>
      </c>
      <c r="E30" s="17">
        <v>20098.87</v>
      </c>
      <c r="F30" s="18">
        <v>31348.87</v>
      </c>
      <c r="G30" s="19">
        <v>56622.72</v>
      </c>
      <c r="H30" s="19">
        <f t="shared" si="3"/>
        <v>50960.448</v>
      </c>
      <c r="I30" s="20" t="s">
        <v>13</v>
      </c>
      <c r="J30" s="21" t="s">
        <v>32</v>
      </c>
      <c r="K30" s="7"/>
    </row>
    <row r="31" ht="22.5" customHeight="1">
      <c r="A31" s="14" t="s">
        <v>40</v>
      </c>
      <c r="B31" s="15">
        <v>130.0</v>
      </c>
      <c r="C31" s="34" t="s">
        <v>31</v>
      </c>
      <c r="D31" s="16">
        <v>11360.0</v>
      </c>
      <c r="E31" s="17">
        <v>19974.83</v>
      </c>
      <c r="F31" s="18">
        <v>31334.83</v>
      </c>
      <c r="G31" s="19">
        <v>58568.895000000004</v>
      </c>
      <c r="H31" s="19">
        <f t="shared" si="3"/>
        <v>52712.0055</v>
      </c>
      <c r="I31" s="20" t="s">
        <v>13</v>
      </c>
      <c r="J31" s="21" t="s">
        <v>32</v>
      </c>
      <c r="K31" s="7"/>
    </row>
    <row r="32" ht="22.5" customHeight="1">
      <c r="A32" s="14" t="s">
        <v>41</v>
      </c>
      <c r="B32" s="15">
        <v>140.0</v>
      </c>
      <c r="C32" s="35" t="s">
        <v>31</v>
      </c>
      <c r="D32" s="16">
        <v>11920.0</v>
      </c>
      <c r="E32" s="17">
        <v>20382.46</v>
      </c>
      <c r="F32" s="18">
        <v>32302.46</v>
      </c>
      <c r="G32" s="19">
        <v>60513.91500000001</v>
      </c>
      <c r="H32" s="19">
        <f t="shared" si="3"/>
        <v>54462.5235</v>
      </c>
      <c r="I32" s="20" t="s">
        <v>13</v>
      </c>
      <c r="J32" s="21" t="s">
        <v>32</v>
      </c>
      <c r="K32" s="7"/>
    </row>
    <row r="33" ht="22.5" customHeight="1">
      <c r="A33" s="28" t="s">
        <v>42</v>
      </c>
      <c r="B33" s="15">
        <v>150.0</v>
      </c>
      <c r="C33" s="34" t="s">
        <v>31</v>
      </c>
      <c r="D33" s="29">
        <v>14160.0</v>
      </c>
      <c r="E33" s="30">
        <v>20790.42</v>
      </c>
      <c r="F33" s="31">
        <v>34950.42</v>
      </c>
      <c r="G33" s="32">
        <v>64406.26500000001</v>
      </c>
      <c r="H33" s="19">
        <f t="shared" si="3"/>
        <v>57965.6385</v>
      </c>
      <c r="I33" s="20" t="s">
        <v>13</v>
      </c>
      <c r="J33" s="21" t="s">
        <v>32</v>
      </c>
      <c r="K33" s="7"/>
    </row>
    <row r="34" ht="22.5" customHeight="1">
      <c r="A34" s="28" t="s">
        <v>43</v>
      </c>
      <c r="B34" s="15">
        <v>160.0</v>
      </c>
      <c r="C34" s="35" t="s">
        <v>31</v>
      </c>
      <c r="D34" s="29">
        <v>15500.0</v>
      </c>
      <c r="E34" s="30">
        <v>21198.05</v>
      </c>
      <c r="F34" s="31">
        <v>36698.05</v>
      </c>
      <c r="G34" s="32">
        <v>66753.225</v>
      </c>
      <c r="H34" s="19">
        <f t="shared" si="3"/>
        <v>60077.9025</v>
      </c>
      <c r="I34" s="20" t="s">
        <v>13</v>
      </c>
      <c r="J34" s="21" t="s">
        <v>32</v>
      </c>
      <c r="K34" s="7"/>
    </row>
    <row r="35" ht="22.5" customHeight="1">
      <c r="A35" s="28" t="s">
        <v>44</v>
      </c>
      <c r="B35" s="15">
        <v>180.0</v>
      </c>
      <c r="C35" s="34" t="s">
        <v>31</v>
      </c>
      <c r="D35" s="29">
        <v>17740.0</v>
      </c>
      <c r="E35" s="30">
        <v>22013.96</v>
      </c>
      <c r="F35" s="31">
        <v>39753.96</v>
      </c>
      <c r="G35" s="32">
        <v>68297.46</v>
      </c>
      <c r="H35" s="19">
        <f t="shared" si="3"/>
        <v>61467.714</v>
      </c>
      <c r="I35" s="20" t="s">
        <v>13</v>
      </c>
      <c r="J35" s="21" t="s">
        <v>32</v>
      </c>
      <c r="K35" s="7"/>
    </row>
    <row r="36">
      <c r="A36" s="7"/>
      <c r="C36" s="22"/>
      <c r="D36" s="23"/>
      <c r="E36" s="23"/>
      <c r="F36" s="7"/>
      <c r="G36" s="24"/>
      <c r="K36" s="7"/>
    </row>
    <row r="37">
      <c r="A37" s="7"/>
      <c r="C37" s="22"/>
      <c r="D37" s="23"/>
      <c r="E37" s="23"/>
      <c r="F37" s="7"/>
      <c r="G37" s="24"/>
      <c r="K37" s="7"/>
    </row>
    <row r="38">
      <c r="A38" s="7"/>
      <c r="C38" s="22"/>
      <c r="D38" s="23"/>
      <c r="E38" s="23"/>
      <c r="F38" s="7"/>
      <c r="G38" s="24"/>
      <c r="K38" s="7"/>
    </row>
    <row r="39" ht="22.5" customHeight="1">
      <c r="A39" s="8" t="s">
        <v>45</v>
      </c>
      <c r="B39" s="9" t="s">
        <v>2</v>
      </c>
      <c r="C39" s="10" t="s">
        <v>3</v>
      </c>
      <c r="D39" s="25" t="s">
        <v>4</v>
      </c>
      <c r="E39" s="26" t="s">
        <v>5</v>
      </c>
      <c r="F39" s="27" t="s">
        <v>6</v>
      </c>
      <c r="G39" s="12" t="s">
        <v>7</v>
      </c>
      <c r="H39" s="12" t="s">
        <v>20</v>
      </c>
      <c r="I39" s="13" t="s">
        <v>9</v>
      </c>
      <c r="J39" s="10" t="s">
        <v>10</v>
      </c>
      <c r="K39" s="7"/>
    </row>
    <row r="40" ht="22.5" customHeight="1">
      <c r="A40" s="28" t="s">
        <v>46</v>
      </c>
      <c r="B40" s="15">
        <v>60.0</v>
      </c>
      <c r="C40" s="15" t="s">
        <v>12</v>
      </c>
      <c r="D40" s="29">
        <v>9040.0</v>
      </c>
      <c r="E40" s="30">
        <v>19865.18</v>
      </c>
      <c r="F40" s="31">
        <v>28905.18</v>
      </c>
      <c r="G40" s="32">
        <v>43534.26000000001</v>
      </c>
      <c r="H40" s="19">
        <f t="shared" ref="H40:H48" si="4">G40*0.9</f>
        <v>39180.834</v>
      </c>
      <c r="I40" s="20" t="s">
        <v>13</v>
      </c>
      <c r="J40" s="21" t="s">
        <v>47</v>
      </c>
      <c r="K40" s="7"/>
    </row>
    <row r="41" ht="22.5" customHeight="1">
      <c r="A41" s="28" t="s">
        <v>48</v>
      </c>
      <c r="B41" s="15">
        <v>70.0</v>
      </c>
      <c r="C41" s="15" t="s">
        <v>12</v>
      </c>
      <c r="D41" s="29">
        <v>10815.0</v>
      </c>
      <c r="E41" s="30">
        <v>21082.67</v>
      </c>
      <c r="F41" s="31">
        <v>31897.67</v>
      </c>
      <c r="G41" s="32">
        <v>47892.07500000001</v>
      </c>
      <c r="H41" s="19">
        <f t="shared" si="4"/>
        <v>43102.8675</v>
      </c>
      <c r="I41" s="20" t="s">
        <v>13</v>
      </c>
      <c r="J41" s="21" t="s">
        <v>47</v>
      </c>
      <c r="K41" s="7"/>
    </row>
    <row r="42" ht="22.5" customHeight="1">
      <c r="A42" s="14" t="s">
        <v>49</v>
      </c>
      <c r="B42" s="15">
        <v>80.0</v>
      </c>
      <c r="C42" s="15" t="s">
        <v>12</v>
      </c>
      <c r="D42" s="16">
        <v>11470.0</v>
      </c>
      <c r="E42" s="17">
        <v>21920.11</v>
      </c>
      <c r="F42" s="18">
        <v>33390.11</v>
      </c>
      <c r="G42" s="19">
        <v>50888.145000000004</v>
      </c>
      <c r="H42" s="19">
        <f t="shared" si="4"/>
        <v>45799.3305</v>
      </c>
      <c r="I42" s="20" t="s">
        <v>13</v>
      </c>
      <c r="J42" s="21" t="s">
        <v>47</v>
      </c>
      <c r="K42" s="7"/>
    </row>
    <row r="43" ht="22.5" customHeight="1">
      <c r="A43" s="14" t="s">
        <v>50</v>
      </c>
      <c r="B43" s="15">
        <v>90.0</v>
      </c>
      <c r="C43" s="15" t="s">
        <v>12</v>
      </c>
      <c r="D43" s="16">
        <v>12590.0</v>
      </c>
      <c r="E43" s="17">
        <v>23975.04</v>
      </c>
      <c r="F43" s="18">
        <v>36565.04</v>
      </c>
      <c r="G43" s="19">
        <v>58242.030000000006</v>
      </c>
      <c r="H43" s="19">
        <f t="shared" si="4"/>
        <v>52417.827</v>
      </c>
      <c r="I43" s="20" t="s">
        <v>13</v>
      </c>
      <c r="J43" s="21" t="s">
        <v>47</v>
      </c>
      <c r="K43" s="7"/>
    </row>
    <row r="44" ht="22.5" customHeight="1">
      <c r="A44" s="14" t="s">
        <v>51</v>
      </c>
      <c r="B44" s="15">
        <v>100.0</v>
      </c>
      <c r="C44" s="15" t="s">
        <v>12</v>
      </c>
      <c r="D44" s="16">
        <v>13188.0</v>
      </c>
      <c r="E44" s="17">
        <v>24386.02</v>
      </c>
      <c r="F44" s="18">
        <v>37574.02</v>
      </c>
      <c r="G44" s="19">
        <v>59713.50000000001</v>
      </c>
      <c r="H44" s="19">
        <f t="shared" si="4"/>
        <v>53742.15</v>
      </c>
      <c r="I44" s="20" t="s">
        <v>13</v>
      </c>
      <c r="J44" s="21" t="s">
        <v>47</v>
      </c>
      <c r="K44" s="7"/>
    </row>
    <row r="45" ht="22.5" customHeight="1">
      <c r="A45" s="14" t="s">
        <v>52</v>
      </c>
      <c r="B45" s="15">
        <v>110.0</v>
      </c>
      <c r="C45" s="15" t="s">
        <v>12</v>
      </c>
      <c r="D45" s="16">
        <v>13805.0</v>
      </c>
      <c r="E45" s="17">
        <v>24797.01</v>
      </c>
      <c r="F45" s="18">
        <v>38602.01</v>
      </c>
      <c r="G45" s="19">
        <v>61183.815</v>
      </c>
      <c r="H45" s="19">
        <f t="shared" si="4"/>
        <v>55065.4335</v>
      </c>
      <c r="I45" s="20" t="s">
        <v>13</v>
      </c>
      <c r="J45" s="21" t="s">
        <v>47</v>
      </c>
      <c r="K45" s="7"/>
    </row>
    <row r="46" ht="22.5" customHeight="1">
      <c r="A46" s="14" t="s">
        <v>53</v>
      </c>
      <c r="B46" s="15">
        <v>120.0</v>
      </c>
      <c r="C46" s="15" t="s">
        <v>12</v>
      </c>
      <c r="D46" s="16">
        <v>14422.0</v>
      </c>
      <c r="E46" s="17">
        <v>25208.0</v>
      </c>
      <c r="F46" s="18">
        <v>39630.0</v>
      </c>
      <c r="G46" s="19">
        <v>62654.13000000001</v>
      </c>
      <c r="H46" s="19">
        <f t="shared" si="4"/>
        <v>56388.717</v>
      </c>
      <c r="I46" s="20" t="s">
        <v>13</v>
      </c>
      <c r="J46" s="21" t="s">
        <v>47</v>
      </c>
      <c r="K46" s="7"/>
    </row>
    <row r="47" ht="22.5" customHeight="1">
      <c r="A47" s="14" t="s">
        <v>54</v>
      </c>
      <c r="B47" s="15">
        <v>130.0</v>
      </c>
      <c r="C47" s="15" t="s">
        <v>12</v>
      </c>
      <c r="D47" s="16">
        <v>15020.0</v>
      </c>
      <c r="E47" s="17">
        <v>25618.98</v>
      </c>
      <c r="F47" s="18">
        <v>40638.98</v>
      </c>
      <c r="G47" s="19">
        <v>64125.60000000001</v>
      </c>
      <c r="H47" s="19">
        <f t="shared" si="4"/>
        <v>57713.04</v>
      </c>
      <c r="I47" s="20" t="s">
        <v>13</v>
      </c>
      <c r="J47" s="21" t="s">
        <v>47</v>
      </c>
      <c r="K47" s="7"/>
    </row>
    <row r="48" ht="22.5" customHeight="1">
      <c r="A48" s="14" t="s">
        <v>55</v>
      </c>
      <c r="B48" s="15">
        <v>140.0</v>
      </c>
      <c r="C48" s="15" t="s">
        <v>12</v>
      </c>
      <c r="D48" s="16">
        <v>16235.0</v>
      </c>
      <c r="E48" s="17">
        <v>26322.68</v>
      </c>
      <c r="F48" s="18">
        <v>42557.68</v>
      </c>
      <c r="G48" s="19">
        <v>66643.50000000001</v>
      </c>
      <c r="H48" s="19">
        <f t="shared" si="4"/>
        <v>59979.15</v>
      </c>
      <c r="I48" s="20" t="s">
        <v>13</v>
      </c>
      <c r="J48" s="21" t="s">
        <v>47</v>
      </c>
      <c r="K48" s="7"/>
    </row>
    <row r="49">
      <c r="A49" s="7"/>
      <c r="C49" s="22"/>
      <c r="D49" s="23"/>
      <c r="E49" s="23"/>
      <c r="F49" s="36"/>
      <c r="G49" s="37"/>
      <c r="K49" s="7"/>
    </row>
    <row r="50" ht="22.5" customHeight="1">
      <c r="A50" s="8" t="s">
        <v>56</v>
      </c>
      <c r="B50" s="9" t="s">
        <v>2</v>
      </c>
      <c r="C50" s="10" t="s">
        <v>3</v>
      </c>
      <c r="D50" s="25" t="s">
        <v>4</v>
      </c>
      <c r="E50" s="26" t="s">
        <v>5</v>
      </c>
      <c r="F50" s="27" t="s">
        <v>6</v>
      </c>
      <c r="G50" s="12" t="s">
        <v>7</v>
      </c>
      <c r="H50" s="12" t="s">
        <v>20</v>
      </c>
      <c r="I50" s="13" t="s">
        <v>9</v>
      </c>
      <c r="J50" s="10" t="s">
        <v>10</v>
      </c>
      <c r="K50" s="7"/>
    </row>
    <row r="51" ht="22.5" customHeight="1">
      <c r="A51" s="28" t="s">
        <v>46</v>
      </c>
      <c r="B51" s="15">
        <v>60.0</v>
      </c>
      <c r="C51" s="15" t="s">
        <v>22</v>
      </c>
      <c r="D51" s="29">
        <v>9640.0</v>
      </c>
      <c r="E51" s="30">
        <v>16758.48</v>
      </c>
      <c r="F51" s="31">
        <v>26398.48</v>
      </c>
      <c r="G51" s="32">
        <v>43975.47</v>
      </c>
      <c r="H51" s="19">
        <f t="shared" ref="H51:H60" si="5">G51*0.9</f>
        <v>39577.923</v>
      </c>
      <c r="I51" s="20" t="s">
        <v>13</v>
      </c>
      <c r="J51" s="21" t="s">
        <v>47</v>
      </c>
      <c r="K51" s="7"/>
    </row>
    <row r="52" ht="22.5" customHeight="1">
      <c r="A52" s="14" t="s">
        <v>49</v>
      </c>
      <c r="B52" s="15">
        <v>80.0</v>
      </c>
      <c r="C52" s="15" t="s">
        <v>22</v>
      </c>
      <c r="D52" s="16">
        <v>12220.0</v>
      </c>
      <c r="E52" s="17">
        <v>23522.95</v>
      </c>
      <c r="F52" s="18">
        <v>35742.95</v>
      </c>
      <c r="G52" s="19">
        <v>56623.87500000001</v>
      </c>
      <c r="H52" s="19">
        <f t="shared" si="5"/>
        <v>50961.4875</v>
      </c>
      <c r="I52" s="20" t="s">
        <v>13</v>
      </c>
      <c r="J52" s="21" t="s">
        <v>47</v>
      </c>
      <c r="K52" s="7"/>
    </row>
    <row r="53" ht="22.5" customHeight="1">
      <c r="A53" s="14" t="s">
        <v>50</v>
      </c>
      <c r="B53" s="15">
        <v>90.0</v>
      </c>
      <c r="C53" s="15" t="s">
        <v>22</v>
      </c>
      <c r="D53" s="16">
        <v>13340.0</v>
      </c>
      <c r="E53" s="17">
        <v>24344.93</v>
      </c>
      <c r="F53" s="18">
        <v>37684.93</v>
      </c>
      <c r="G53" s="19">
        <v>59565.66</v>
      </c>
      <c r="H53" s="19">
        <f t="shared" si="5"/>
        <v>53609.094</v>
      </c>
      <c r="I53" s="20" t="s">
        <v>13</v>
      </c>
      <c r="J53" s="21" t="s">
        <v>47</v>
      </c>
      <c r="K53" s="7"/>
    </row>
    <row r="54" ht="22.5" customHeight="1">
      <c r="A54" s="14" t="s">
        <v>51</v>
      </c>
      <c r="B54" s="15">
        <v>100.0</v>
      </c>
      <c r="C54" s="15" t="s">
        <v>22</v>
      </c>
      <c r="D54" s="16">
        <v>13968.0</v>
      </c>
      <c r="E54" s="17">
        <v>24755.91</v>
      </c>
      <c r="F54" s="18">
        <v>38723.91</v>
      </c>
      <c r="G54" s="19">
        <v>61037.13000000001</v>
      </c>
      <c r="H54" s="19">
        <f t="shared" si="5"/>
        <v>54933.417</v>
      </c>
      <c r="I54" s="20" t="s">
        <v>13</v>
      </c>
      <c r="J54" s="21" t="s">
        <v>47</v>
      </c>
      <c r="K54" s="7"/>
    </row>
    <row r="55" ht="22.5" customHeight="1">
      <c r="A55" s="14" t="s">
        <v>52</v>
      </c>
      <c r="B55" s="15">
        <v>110.0</v>
      </c>
      <c r="C55" s="15" t="s">
        <v>22</v>
      </c>
      <c r="D55" s="16">
        <v>14630.0</v>
      </c>
      <c r="E55" s="17">
        <v>25166.9</v>
      </c>
      <c r="F55" s="18">
        <v>39796.9</v>
      </c>
      <c r="G55" s="19">
        <v>62507.44500000001</v>
      </c>
      <c r="H55" s="19">
        <f t="shared" si="5"/>
        <v>56256.7005</v>
      </c>
      <c r="I55" s="20" t="s">
        <v>13</v>
      </c>
      <c r="J55" s="21" t="s">
        <v>47</v>
      </c>
      <c r="K55" s="7"/>
    </row>
    <row r="56" ht="22.5" customHeight="1">
      <c r="A56" s="14" t="s">
        <v>53</v>
      </c>
      <c r="B56" s="15">
        <v>120.0</v>
      </c>
      <c r="C56" s="15" t="s">
        <v>22</v>
      </c>
      <c r="D56" s="16">
        <v>15292.0</v>
      </c>
      <c r="E56" s="17">
        <v>25577.88</v>
      </c>
      <c r="F56" s="18">
        <v>40869.88</v>
      </c>
      <c r="G56" s="19">
        <v>63977.76000000001</v>
      </c>
      <c r="H56" s="19">
        <f t="shared" si="5"/>
        <v>57579.984</v>
      </c>
      <c r="I56" s="20" t="s">
        <v>13</v>
      </c>
      <c r="J56" s="21" t="s">
        <v>47</v>
      </c>
      <c r="K56" s="7"/>
    </row>
    <row r="57" ht="22.5" customHeight="1">
      <c r="A57" s="14" t="s">
        <v>54</v>
      </c>
      <c r="B57" s="15">
        <v>130.0</v>
      </c>
      <c r="C57" s="15" t="s">
        <v>22</v>
      </c>
      <c r="D57" s="16">
        <v>15920.0</v>
      </c>
      <c r="E57" s="17">
        <v>25988.87</v>
      </c>
      <c r="F57" s="18">
        <v>41908.87</v>
      </c>
      <c r="G57" s="19">
        <v>65449.23000000001</v>
      </c>
      <c r="H57" s="19">
        <f t="shared" si="5"/>
        <v>58904.307</v>
      </c>
      <c r="I57" s="20" t="s">
        <v>13</v>
      </c>
      <c r="J57" s="21" t="s">
        <v>47</v>
      </c>
      <c r="K57" s="7"/>
    </row>
    <row r="58" ht="22.5" customHeight="1">
      <c r="A58" s="14" t="s">
        <v>55</v>
      </c>
      <c r="B58" s="15">
        <v>140.0</v>
      </c>
      <c r="C58" s="15" t="s">
        <v>22</v>
      </c>
      <c r="D58" s="16">
        <v>17210.0</v>
      </c>
      <c r="E58" s="17">
        <v>26748.87</v>
      </c>
      <c r="F58" s="18">
        <v>43958.87</v>
      </c>
      <c r="G58" s="19">
        <v>68169.255</v>
      </c>
      <c r="H58" s="19">
        <f t="shared" si="5"/>
        <v>61352.3295</v>
      </c>
      <c r="I58" s="20" t="s">
        <v>13</v>
      </c>
      <c r="J58" s="21" t="s">
        <v>47</v>
      </c>
      <c r="K58" s="7"/>
    </row>
    <row r="59" ht="22.5" customHeight="1">
      <c r="A59" s="14" t="s">
        <v>57</v>
      </c>
      <c r="B59" s="15">
        <v>150.0</v>
      </c>
      <c r="C59" s="15" t="s">
        <v>22</v>
      </c>
      <c r="D59" s="16">
        <v>17210.0</v>
      </c>
      <c r="E59" s="17">
        <v>27032.73</v>
      </c>
      <c r="F59" s="18">
        <v>44242.73</v>
      </c>
      <c r="G59" s="19">
        <v>69184.5</v>
      </c>
      <c r="H59" s="19">
        <f t="shared" si="5"/>
        <v>62266.05</v>
      </c>
      <c r="I59" s="20" t="s">
        <v>13</v>
      </c>
      <c r="J59" s="21" t="s">
        <v>47</v>
      </c>
      <c r="K59" s="7"/>
    </row>
    <row r="60" ht="22.5" customHeight="1">
      <c r="A60" s="28" t="s">
        <v>58</v>
      </c>
      <c r="B60" s="15">
        <v>160.0</v>
      </c>
      <c r="C60" s="15" t="s">
        <v>22</v>
      </c>
      <c r="D60" s="29">
        <v>18500.0</v>
      </c>
      <c r="E60" s="30">
        <v>27233.48</v>
      </c>
      <c r="F60" s="31">
        <v>45733.48</v>
      </c>
      <c r="G60" s="32">
        <v>69902.91000000002</v>
      </c>
      <c r="H60" s="19">
        <f t="shared" si="5"/>
        <v>62912.619</v>
      </c>
      <c r="I60" s="20" t="s">
        <v>13</v>
      </c>
      <c r="J60" s="21" t="s">
        <v>47</v>
      </c>
      <c r="K60" s="7"/>
    </row>
    <row r="61">
      <c r="A61" s="7"/>
      <c r="E61" s="22"/>
      <c r="F61" s="23"/>
      <c r="G61" s="23"/>
      <c r="H61" s="36"/>
      <c r="I61" s="37"/>
      <c r="K61" s="7"/>
    </row>
    <row r="62">
      <c r="A62" s="7"/>
      <c r="E62" s="22"/>
      <c r="F62" s="23"/>
      <c r="G62" s="23"/>
      <c r="H62" s="36"/>
      <c r="I62" s="37"/>
      <c r="K62" s="7"/>
    </row>
    <row r="63" ht="22.5" customHeight="1">
      <c r="A63" s="8" t="s">
        <v>59</v>
      </c>
      <c r="B63" s="9" t="s">
        <v>60</v>
      </c>
      <c r="C63" s="9" t="s">
        <v>61</v>
      </c>
      <c r="D63" s="33" t="s">
        <v>3</v>
      </c>
      <c r="E63" s="25" t="s">
        <v>4</v>
      </c>
      <c r="F63" s="26" t="s">
        <v>5</v>
      </c>
      <c r="G63" s="27" t="s">
        <v>6</v>
      </c>
      <c r="H63" s="13" t="s">
        <v>7</v>
      </c>
      <c r="I63" s="12" t="s">
        <v>20</v>
      </c>
      <c r="J63" s="13" t="s">
        <v>9</v>
      </c>
      <c r="K63" s="10" t="s">
        <v>10</v>
      </c>
    </row>
    <row r="64" ht="22.5" customHeight="1">
      <c r="A64" s="28" t="s">
        <v>62</v>
      </c>
      <c r="B64" s="15">
        <v>145.0</v>
      </c>
      <c r="C64" s="15">
        <v>180.0</v>
      </c>
      <c r="D64" s="34" t="s">
        <v>31</v>
      </c>
      <c r="E64" s="29">
        <v>20440.0</v>
      </c>
      <c r="F64" s="38">
        <v>28044.72</v>
      </c>
      <c r="G64" s="39">
        <v>48484.72</v>
      </c>
      <c r="H64" s="32">
        <v>72806.58000000002</v>
      </c>
      <c r="I64" s="19">
        <f t="shared" ref="I64:I149" si="6">H64*0.9</f>
        <v>65525.922</v>
      </c>
      <c r="J64" s="20" t="s">
        <v>63</v>
      </c>
      <c r="K64" s="21" t="s">
        <v>47</v>
      </c>
    </row>
    <row r="65" ht="22.5" customHeight="1">
      <c r="A65" s="28" t="s">
        <v>64</v>
      </c>
      <c r="B65" s="15">
        <v>145.0</v>
      </c>
      <c r="C65" s="15">
        <v>190.0</v>
      </c>
      <c r="D65" s="35" t="s">
        <v>31</v>
      </c>
      <c r="E65" s="29">
        <v>21000.0</v>
      </c>
      <c r="F65" s="38">
        <v>28362.46</v>
      </c>
      <c r="G65" s="39">
        <v>49362.46</v>
      </c>
      <c r="H65" s="32">
        <v>73943.1</v>
      </c>
      <c r="I65" s="19">
        <f t="shared" si="6"/>
        <v>66548.79</v>
      </c>
      <c r="J65" s="20" t="s">
        <v>63</v>
      </c>
      <c r="K65" s="21" t="s">
        <v>47</v>
      </c>
    </row>
    <row r="66" ht="22.5" customHeight="1">
      <c r="A66" s="28" t="s">
        <v>65</v>
      </c>
      <c r="B66" s="15">
        <v>150.0</v>
      </c>
      <c r="C66" s="15">
        <v>420.0</v>
      </c>
      <c r="D66" s="34" t="s">
        <v>31</v>
      </c>
      <c r="E66" s="29">
        <v>43790.0</v>
      </c>
      <c r="F66" s="38">
        <v>41565.23</v>
      </c>
      <c r="G66" s="39">
        <v>85355.23</v>
      </c>
      <c r="H66" s="32">
        <v>121190.68500000001</v>
      </c>
      <c r="I66" s="19">
        <f t="shared" si="6"/>
        <v>109071.6165</v>
      </c>
      <c r="J66" s="20" t="s">
        <v>63</v>
      </c>
      <c r="K66" s="21" t="s">
        <v>47</v>
      </c>
    </row>
    <row r="67" ht="22.5" customHeight="1">
      <c r="A67" s="28" t="s">
        <v>66</v>
      </c>
      <c r="B67" s="15">
        <v>150.0</v>
      </c>
      <c r="C67" s="15">
        <v>350.0</v>
      </c>
      <c r="D67" s="35" t="s">
        <v>31</v>
      </c>
      <c r="E67" s="29">
        <v>38000.0</v>
      </c>
      <c r="F67" s="38">
        <v>37016.99</v>
      </c>
      <c r="G67" s="39">
        <v>75016.99</v>
      </c>
      <c r="H67" s="32">
        <v>104914.42500000002</v>
      </c>
      <c r="I67" s="19">
        <f t="shared" si="6"/>
        <v>94422.9825</v>
      </c>
      <c r="J67" s="20" t="s">
        <v>63</v>
      </c>
      <c r="K67" s="21" t="s">
        <v>47</v>
      </c>
    </row>
    <row r="68" ht="22.5" customHeight="1">
      <c r="A68" s="28" t="s">
        <v>67</v>
      </c>
      <c r="B68" s="15">
        <v>150.0</v>
      </c>
      <c r="C68" s="15">
        <v>300.0</v>
      </c>
      <c r="D68" s="34" t="s">
        <v>31</v>
      </c>
      <c r="E68" s="29">
        <v>35200.0</v>
      </c>
      <c r="F68" s="38">
        <v>36038.45</v>
      </c>
      <c r="G68" s="39">
        <v>71238.45</v>
      </c>
      <c r="H68" s="32">
        <v>101412.46500000001</v>
      </c>
      <c r="I68" s="19">
        <f t="shared" si="6"/>
        <v>91271.2185</v>
      </c>
      <c r="J68" s="20" t="s">
        <v>63</v>
      </c>
      <c r="K68" s="21" t="s">
        <v>47</v>
      </c>
    </row>
    <row r="69" ht="22.5" customHeight="1">
      <c r="A69" s="28" t="s">
        <v>68</v>
      </c>
      <c r="B69" s="15">
        <v>140.0</v>
      </c>
      <c r="C69" s="15">
        <v>300.0</v>
      </c>
      <c r="D69" s="35" t="s">
        <v>31</v>
      </c>
      <c r="E69" s="29">
        <v>29040.0</v>
      </c>
      <c r="F69" s="40">
        <v>34681.9</v>
      </c>
      <c r="G69" s="41">
        <v>63721.9</v>
      </c>
      <c r="H69" s="32">
        <v>96558.00000000001</v>
      </c>
      <c r="I69" s="19">
        <f t="shared" si="6"/>
        <v>86902.2</v>
      </c>
      <c r="J69" s="20" t="s">
        <v>63</v>
      </c>
      <c r="K69" s="21" t="s">
        <v>47</v>
      </c>
    </row>
    <row r="70" ht="22.5" customHeight="1">
      <c r="A70" s="42" t="s">
        <v>69</v>
      </c>
      <c r="B70" s="15">
        <v>130.0</v>
      </c>
      <c r="C70" s="15">
        <v>280.0</v>
      </c>
      <c r="D70" s="34" t="s">
        <v>31</v>
      </c>
      <c r="E70" s="29">
        <v>30600.0</v>
      </c>
      <c r="F70" s="38">
        <v>33510.32</v>
      </c>
      <c r="G70" s="39">
        <v>64110.32</v>
      </c>
      <c r="H70" s="32">
        <v>92365.35</v>
      </c>
      <c r="I70" s="19">
        <f t="shared" si="6"/>
        <v>83128.815</v>
      </c>
      <c r="J70" s="20" t="s">
        <v>63</v>
      </c>
      <c r="K70" s="21" t="s">
        <v>47</v>
      </c>
    </row>
    <row r="71" ht="22.5" customHeight="1">
      <c r="A71" s="28" t="s">
        <v>70</v>
      </c>
      <c r="B71" s="15">
        <v>180.0</v>
      </c>
      <c r="C71" s="15">
        <v>280.0</v>
      </c>
      <c r="D71" s="35" t="s">
        <v>31</v>
      </c>
      <c r="E71" s="29">
        <v>33400.0</v>
      </c>
      <c r="F71" s="38">
        <v>37070.25</v>
      </c>
      <c r="G71" s="39">
        <v>70470.25</v>
      </c>
      <c r="H71" s="32">
        <v>105105.00000000001</v>
      </c>
      <c r="I71" s="19">
        <f t="shared" si="6"/>
        <v>94594.5</v>
      </c>
      <c r="J71" s="20" t="s">
        <v>63</v>
      </c>
      <c r="K71" s="21" t="s">
        <v>47</v>
      </c>
    </row>
    <row r="72" ht="22.5" customHeight="1">
      <c r="A72" s="28" t="s">
        <v>71</v>
      </c>
      <c r="B72" s="15">
        <v>140.0</v>
      </c>
      <c r="C72" s="15">
        <v>270.0</v>
      </c>
      <c r="D72" s="34" t="s">
        <v>31</v>
      </c>
      <c r="E72" s="29">
        <v>23240.0</v>
      </c>
      <c r="F72" s="38">
        <v>31397.75</v>
      </c>
      <c r="G72" s="39">
        <v>54637.75</v>
      </c>
      <c r="H72" s="32">
        <v>84804.72000000002</v>
      </c>
      <c r="I72" s="19">
        <f t="shared" si="6"/>
        <v>76324.248</v>
      </c>
      <c r="J72" s="20" t="s">
        <v>63</v>
      </c>
      <c r="K72" s="21" t="s">
        <v>47</v>
      </c>
    </row>
    <row r="73" ht="22.5" customHeight="1">
      <c r="A73" s="28" t="s">
        <v>72</v>
      </c>
      <c r="B73" s="15">
        <v>163.0</v>
      </c>
      <c r="C73" s="15">
        <v>275.0</v>
      </c>
      <c r="D73" s="35" t="s">
        <v>31</v>
      </c>
      <c r="E73" s="29">
        <v>32400.0</v>
      </c>
      <c r="F73" s="38">
        <v>35934.73</v>
      </c>
      <c r="G73" s="39">
        <v>68334.73</v>
      </c>
      <c r="H73" s="32">
        <v>101041.71000000002</v>
      </c>
      <c r="I73" s="19">
        <f t="shared" si="6"/>
        <v>90937.539</v>
      </c>
      <c r="J73" s="20" t="s">
        <v>63</v>
      </c>
      <c r="K73" s="21" t="s">
        <v>47</v>
      </c>
    </row>
    <row r="74" ht="22.5" customHeight="1">
      <c r="A74" s="28" t="s">
        <v>73</v>
      </c>
      <c r="B74" s="15">
        <v>140.0</v>
      </c>
      <c r="C74" s="15">
        <v>200.0</v>
      </c>
      <c r="D74" s="34" t="s">
        <v>31</v>
      </c>
      <c r="E74" s="29">
        <v>23240.0</v>
      </c>
      <c r="F74" s="38">
        <v>28950.95</v>
      </c>
      <c r="G74" s="39">
        <v>52190.95</v>
      </c>
      <c r="H74" s="32">
        <v>76048.66500000001</v>
      </c>
      <c r="I74" s="19">
        <f t="shared" si="6"/>
        <v>68443.7985</v>
      </c>
      <c r="J74" s="20" t="s">
        <v>63</v>
      </c>
      <c r="K74" s="21" t="s">
        <v>47</v>
      </c>
    </row>
    <row r="75" ht="22.5" customHeight="1">
      <c r="A75" s="28" t="s">
        <v>74</v>
      </c>
      <c r="B75" s="15">
        <v>125.0</v>
      </c>
      <c r="C75" s="15">
        <v>260.0</v>
      </c>
      <c r="D75" s="35" t="s">
        <v>31</v>
      </c>
      <c r="E75" s="29">
        <v>24930.0</v>
      </c>
      <c r="F75" s="38">
        <v>31822.81</v>
      </c>
      <c r="G75" s="39">
        <v>56752.81</v>
      </c>
      <c r="H75" s="32">
        <v>86325.85500000001</v>
      </c>
      <c r="I75" s="19">
        <f t="shared" si="6"/>
        <v>77693.2695</v>
      </c>
      <c r="J75" s="20" t="s">
        <v>63</v>
      </c>
      <c r="K75" s="21" t="s">
        <v>47</v>
      </c>
    </row>
    <row r="76" ht="22.5" customHeight="1">
      <c r="A76" s="28" t="s">
        <v>75</v>
      </c>
      <c r="B76" s="15">
        <v>153.0</v>
      </c>
      <c r="C76" s="15">
        <v>260.0</v>
      </c>
      <c r="D76" s="34" t="s">
        <v>31</v>
      </c>
      <c r="E76" s="29">
        <v>29410.0</v>
      </c>
      <c r="F76" s="38">
        <v>32318.05</v>
      </c>
      <c r="G76" s="39">
        <v>61728.05</v>
      </c>
      <c r="H76" s="32">
        <v>88098.78000000001</v>
      </c>
      <c r="I76" s="19">
        <f t="shared" si="6"/>
        <v>79288.902</v>
      </c>
      <c r="J76" s="20" t="s">
        <v>63</v>
      </c>
      <c r="K76" s="21" t="s">
        <v>47</v>
      </c>
    </row>
    <row r="77" ht="22.5" customHeight="1">
      <c r="A77" s="28" t="s">
        <v>76</v>
      </c>
      <c r="B77" s="15">
        <v>150.0</v>
      </c>
      <c r="C77" s="15">
        <v>260.0</v>
      </c>
      <c r="D77" s="34" t="s">
        <v>31</v>
      </c>
      <c r="E77" s="29">
        <v>29410.0</v>
      </c>
      <c r="F77" s="38">
        <v>32318.05</v>
      </c>
      <c r="G77" s="39">
        <v>61728.05</v>
      </c>
      <c r="H77" s="43">
        <v>88098.78000000001</v>
      </c>
      <c r="I77" s="19">
        <f t="shared" si="6"/>
        <v>79288.902</v>
      </c>
      <c r="J77" s="20" t="s">
        <v>63</v>
      </c>
      <c r="K77" s="21" t="s">
        <v>47</v>
      </c>
    </row>
    <row r="78" ht="22.5" customHeight="1">
      <c r="A78" s="28" t="s">
        <v>77</v>
      </c>
      <c r="B78" s="15">
        <v>150.0</v>
      </c>
      <c r="C78" s="15">
        <v>250.0</v>
      </c>
      <c r="D78" s="34" t="s">
        <v>31</v>
      </c>
      <c r="E78" s="29">
        <v>29410.0</v>
      </c>
      <c r="F78" s="38">
        <v>32099.9</v>
      </c>
      <c r="G78" s="39">
        <v>61509.9</v>
      </c>
      <c r="H78" s="32">
        <v>87318.0</v>
      </c>
      <c r="I78" s="19">
        <f t="shared" si="6"/>
        <v>78586.2</v>
      </c>
      <c r="J78" s="20" t="s">
        <v>63</v>
      </c>
      <c r="K78" s="21" t="s">
        <v>47</v>
      </c>
    </row>
    <row r="79" ht="22.5" customHeight="1">
      <c r="A79" s="28" t="s">
        <v>78</v>
      </c>
      <c r="B79" s="15">
        <v>140.0</v>
      </c>
      <c r="C79" s="15">
        <v>250.0</v>
      </c>
      <c r="D79" s="34" t="s">
        <v>31</v>
      </c>
      <c r="E79" s="29">
        <v>24480.0</v>
      </c>
      <c r="F79" s="40">
        <v>31873.98</v>
      </c>
      <c r="G79" s="41">
        <v>56353.98</v>
      </c>
      <c r="H79" s="43">
        <v>86509.5</v>
      </c>
      <c r="I79" s="19">
        <f t="shared" si="6"/>
        <v>77858.55</v>
      </c>
      <c r="J79" s="20" t="s">
        <v>63</v>
      </c>
      <c r="K79" s="21" t="s">
        <v>47</v>
      </c>
    </row>
    <row r="80" ht="22.5" customHeight="1">
      <c r="A80" s="28" t="s">
        <v>79</v>
      </c>
      <c r="B80" s="15">
        <v>146.0</v>
      </c>
      <c r="C80" s="15">
        <v>246.0</v>
      </c>
      <c r="D80" s="34" t="s">
        <v>31</v>
      </c>
      <c r="E80" s="29">
        <v>24480.0</v>
      </c>
      <c r="F80" s="38">
        <v>31873.98</v>
      </c>
      <c r="G80" s="39">
        <v>56353.98</v>
      </c>
      <c r="H80" s="43">
        <v>86509.5</v>
      </c>
      <c r="I80" s="19">
        <f t="shared" si="6"/>
        <v>77858.55</v>
      </c>
      <c r="J80" s="20" t="s">
        <v>63</v>
      </c>
      <c r="K80" s="21" t="s">
        <v>47</v>
      </c>
    </row>
    <row r="81" ht="22.5" customHeight="1">
      <c r="A81" s="28" t="s">
        <v>80</v>
      </c>
      <c r="B81" s="15">
        <v>160.0</v>
      </c>
      <c r="C81" s="15">
        <v>260.0</v>
      </c>
      <c r="D81" s="34" t="s">
        <v>31</v>
      </c>
      <c r="E81" s="29">
        <v>30530.0</v>
      </c>
      <c r="F81" s="38">
        <v>32564.18</v>
      </c>
      <c r="G81" s="39">
        <v>63094.18</v>
      </c>
      <c r="H81" s="32">
        <v>88980.04500000001</v>
      </c>
      <c r="I81" s="19">
        <f t="shared" si="6"/>
        <v>80082.0405</v>
      </c>
      <c r="J81" s="20" t="s">
        <v>63</v>
      </c>
      <c r="K81" s="21" t="s">
        <v>47</v>
      </c>
    </row>
    <row r="82" ht="22.5" customHeight="1">
      <c r="A82" s="28" t="s">
        <v>81</v>
      </c>
      <c r="B82" s="15">
        <v>140.0</v>
      </c>
      <c r="C82" s="15">
        <v>260.0</v>
      </c>
      <c r="D82" s="34" t="s">
        <v>31</v>
      </c>
      <c r="E82" s="29">
        <v>26610.0</v>
      </c>
      <c r="F82" s="38">
        <v>32194.75</v>
      </c>
      <c r="G82" s="39">
        <v>58804.75</v>
      </c>
      <c r="H82" s="32">
        <v>87657.57</v>
      </c>
      <c r="I82" s="19">
        <f t="shared" si="6"/>
        <v>78891.813</v>
      </c>
      <c r="J82" s="20" t="s">
        <v>63</v>
      </c>
      <c r="K82" s="21" t="s">
        <v>47</v>
      </c>
    </row>
    <row r="83" ht="22.5" customHeight="1">
      <c r="A83" s="28" t="s">
        <v>82</v>
      </c>
      <c r="B83" s="15">
        <v>150.0</v>
      </c>
      <c r="C83" s="15">
        <v>240.0</v>
      </c>
      <c r="D83" s="34" t="s">
        <v>31</v>
      </c>
      <c r="E83" s="29">
        <v>32210.0</v>
      </c>
      <c r="F83" s="38">
        <v>33875.03</v>
      </c>
      <c r="G83" s="39">
        <v>66085.03</v>
      </c>
      <c r="H83" s="32">
        <v>93670.5</v>
      </c>
      <c r="I83" s="19">
        <f t="shared" si="6"/>
        <v>84303.45</v>
      </c>
      <c r="J83" s="20" t="s">
        <v>63</v>
      </c>
      <c r="K83" s="21" t="s">
        <v>47</v>
      </c>
    </row>
    <row r="84" ht="22.5" customHeight="1">
      <c r="A84" s="28" t="s">
        <v>83</v>
      </c>
      <c r="B84" s="15">
        <v>150.0</v>
      </c>
      <c r="C84" s="15">
        <v>230.0</v>
      </c>
      <c r="D84" s="34" t="s">
        <v>31</v>
      </c>
      <c r="E84" s="29">
        <v>29410.0</v>
      </c>
      <c r="F84" s="38">
        <v>33494.25</v>
      </c>
      <c r="G84" s="39">
        <v>62904.25</v>
      </c>
      <c r="H84" s="32">
        <v>92307.6</v>
      </c>
      <c r="I84" s="19">
        <f t="shared" si="6"/>
        <v>83076.84</v>
      </c>
      <c r="J84" s="20" t="s">
        <v>63</v>
      </c>
      <c r="K84" s="21" t="s">
        <v>47</v>
      </c>
    </row>
    <row r="85" ht="22.5" customHeight="1">
      <c r="A85" s="28" t="s">
        <v>84</v>
      </c>
      <c r="B85" s="15">
        <v>80.0</v>
      </c>
      <c r="C85" s="15">
        <v>360.0</v>
      </c>
      <c r="D85" s="34" t="s">
        <v>31</v>
      </c>
      <c r="E85" s="29">
        <v>28290.0</v>
      </c>
      <c r="F85" s="38">
        <v>32254.35</v>
      </c>
      <c r="G85" s="39">
        <v>60544.35</v>
      </c>
      <c r="H85" s="32">
        <v>87871.24500000001</v>
      </c>
      <c r="I85" s="19">
        <f t="shared" si="6"/>
        <v>79084.1205</v>
      </c>
      <c r="J85" s="20" t="s">
        <v>63</v>
      </c>
      <c r="K85" s="21" t="s">
        <v>47</v>
      </c>
    </row>
    <row r="86" ht="22.5" customHeight="1">
      <c r="A86" s="28" t="s">
        <v>85</v>
      </c>
      <c r="B86" s="15">
        <v>120.0</v>
      </c>
      <c r="C86" s="15">
        <v>350.0</v>
      </c>
      <c r="D86" s="34" t="s">
        <v>31</v>
      </c>
      <c r="E86" s="29">
        <v>27730.0</v>
      </c>
      <c r="F86" s="38">
        <v>31781.35</v>
      </c>
      <c r="G86" s="39">
        <v>59511.35</v>
      </c>
      <c r="H86" s="32">
        <v>86178.01500000001</v>
      </c>
      <c r="I86" s="19">
        <f t="shared" si="6"/>
        <v>77560.2135</v>
      </c>
      <c r="J86" s="20" t="s">
        <v>63</v>
      </c>
      <c r="K86" s="21" t="s">
        <v>47</v>
      </c>
    </row>
    <row r="87" ht="22.5" customHeight="1">
      <c r="A87" s="28" t="s">
        <v>86</v>
      </c>
      <c r="B87" s="15">
        <v>100.0</v>
      </c>
      <c r="C87" s="15">
        <v>340.0</v>
      </c>
      <c r="D87" s="34" t="s">
        <v>31</v>
      </c>
      <c r="E87" s="29">
        <v>27170.0</v>
      </c>
      <c r="F87" s="38">
        <v>31397.75</v>
      </c>
      <c r="G87" s="39">
        <v>58567.75</v>
      </c>
      <c r="H87" s="32">
        <v>84804.72000000002</v>
      </c>
      <c r="I87" s="19">
        <f t="shared" si="6"/>
        <v>76324.248</v>
      </c>
      <c r="J87" s="20" t="s">
        <v>63</v>
      </c>
      <c r="K87" s="21" t="s">
        <v>47</v>
      </c>
    </row>
    <row r="88" ht="22.5" customHeight="1">
      <c r="A88" s="28" t="s">
        <v>87</v>
      </c>
      <c r="B88" s="15">
        <v>120.0</v>
      </c>
      <c r="C88" s="15">
        <v>300.0</v>
      </c>
      <c r="D88" s="34" t="s">
        <v>31</v>
      </c>
      <c r="E88" s="29">
        <v>24740.0</v>
      </c>
      <c r="F88" s="38">
        <v>30219.66</v>
      </c>
      <c r="G88" s="39">
        <v>54959.66</v>
      </c>
      <c r="H88" s="32">
        <v>80588.97000000002</v>
      </c>
      <c r="I88" s="19">
        <f t="shared" si="6"/>
        <v>72530.073</v>
      </c>
      <c r="J88" s="20" t="s">
        <v>63</v>
      </c>
      <c r="K88" s="21" t="s">
        <v>47</v>
      </c>
    </row>
    <row r="89" ht="22.5" customHeight="1">
      <c r="A89" s="28" t="s">
        <v>88</v>
      </c>
      <c r="B89" s="15">
        <v>110.0</v>
      </c>
      <c r="C89" s="15">
        <v>300.0</v>
      </c>
      <c r="D89" s="34" t="s">
        <v>31</v>
      </c>
      <c r="E89" s="29">
        <v>24892.0</v>
      </c>
      <c r="F89" s="40">
        <v>30088.94</v>
      </c>
      <c r="G89" s="41">
        <v>54980.94</v>
      </c>
      <c r="H89" s="32">
        <v>80121.195</v>
      </c>
      <c r="I89" s="19">
        <f t="shared" si="6"/>
        <v>72109.0755</v>
      </c>
      <c r="J89" s="20" t="s">
        <v>63</v>
      </c>
      <c r="K89" s="21" t="s">
        <v>47</v>
      </c>
    </row>
    <row r="90" ht="22.5" customHeight="1">
      <c r="A90" s="28" t="s">
        <v>89</v>
      </c>
      <c r="B90" s="15">
        <v>100.0</v>
      </c>
      <c r="C90" s="15">
        <v>300.0</v>
      </c>
      <c r="D90" s="34" t="s">
        <v>31</v>
      </c>
      <c r="E90" s="29">
        <v>24892.0</v>
      </c>
      <c r="F90" s="38">
        <v>30016.53</v>
      </c>
      <c r="G90" s="39">
        <v>54908.53</v>
      </c>
      <c r="H90" s="32">
        <v>79862.475</v>
      </c>
      <c r="I90" s="19">
        <f t="shared" si="6"/>
        <v>71876.2275</v>
      </c>
      <c r="J90" s="20" t="s">
        <v>63</v>
      </c>
      <c r="K90" s="21" t="s">
        <v>47</v>
      </c>
    </row>
    <row r="91" ht="22.5" customHeight="1">
      <c r="A91" s="28" t="s">
        <v>90</v>
      </c>
      <c r="B91" s="15">
        <v>110.0</v>
      </c>
      <c r="C91" s="15">
        <v>280.0</v>
      </c>
      <c r="D91" s="34" t="s">
        <v>31</v>
      </c>
      <c r="E91" s="29">
        <v>22715.0</v>
      </c>
      <c r="F91" s="38">
        <v>29776.1</v>
      </c>
      <c r="G91" s="39">
        <v>52491.1</v>
      </c>
      <c r="H91" s="32">
        <v>79002.0</v>
      </c>
      <c r="I91" s="19">
        <f t="shared" si="6"/>
        <v>71101.8</v>
      </c>
      <c r="J91" s="20" t="s">
        <v>63</v>
      </c>
      <c r="K91" s="21" t="s">
        <v>47</v>
      </c>
    </row>
    <row r="92" ht="22.5" customHeight="1">
      <c r="A92" s="44" t="s">
        <v>91</v>
      </c>
      <c r="B92" s="15">
        <v>90.0</v>
      </c>
      <c r="C92" s="15">
        <v>280.0</v>
      </c>
      <c r="D92" s="34" t="s">
        <v>31</v>
      </c>
      <c r="E92" s="29">
        <v>23000.0</v>
      </c>
      <c r="F92" s="38">
        <v>29679.28</v>
      </c>
      <c r="G92" s="39">
        <v>52679.28</v>
      </c>
      <c r="H92" s="32">
        <v>78655.5</v>
      </c>
      <c r="I92" s="19">
        <f t="shared" si="6"/>
        <v>70789.95</v>
      </c>
      <c r="J92" s="20" t="s">
        <v>63</v>
      </c>
      <c r="K92" s="21" t="s">
        <v>47</v>
      </c>
    </row>
    <row r="93" ht="22.5" customHeight="1">
      <c r="A93" s="28" t="s">
        <v>92</v>
      </c>
      <c r="B93" s="15">
        <v>100.0</v>
      </c>
      <c r="C93" s="15">
        <v>270.0</v>
      </c>
      <c r="D93" s="34" t="s">
        <v>31</v>
      </c>
      <c r="E93" s="29">
        <v>22155.0</v>
      </c>
      <c r="F93" s="38">
        <v>30049.8</v>
      </c>
      <c r="G93" s="39">
        <v>52204.8</v>
      </c>
      <c r="H93" s="32">
        <v>79981.44</v>
      </c>
      <c r="I93" s="19">
        <f t="shared" si="6"/>
        <v>71983.296</v>
      </c>
      <c r="J93" s="20" t="s">
        <v>63</v>
      </c>
      <c r="K93" s="21" t="s">
        <v>47</v>
      </c>
    </row>
    <row r="94" ht="22.5" customHeight="1">
      <c r="A94" s="28" t="s">
        <v>93</v>
      </c>
      <c r="B94" s="15">
        <v>120.0</v>
      </c>
      <c r="C94" s="15">
        <v>260.0</v>
      </c>
      <c r="D94" s="34" t="s">
        <v>31</v>
      </c>
      <c r="E94" s="29">
        <v>21500.0</v>
      </c>
      <c r="F94" s="38">
        <v>29728.84</v>
      </c>
      <c r="G94" s="39">
        <v>51228.84</v>
      </c>
      <c r="H94" s="32">
        <v>78833.37000000001</v>
      </c>
      <c r="I94" s="19">
        <f t="shared" si="6"/>
        <v>70950.033</v>
      </c>
      <c r="J94" s="20" t="s">
        <v>63</v>
      </c>
      <c r="K94" s="21" t="s">
        <v>47</v>
      </c>
    </row>
    <row r="95" ht="22.5" customHeight="1">
      <c r="A95" s="28" t="s">
        <v>94</v>
      </c>
      <c r="B95" s="15">
        <v>110.0</v>
      </c>
      <c r="C95" s="15">
        <v>260.0</v>
      </c>
      <c r="D95" s="34" t="s">
        <v>31</v>
      </c>
      <c r="E95" s="29">
        <v>21500.0</v>
      </c>
      <c r="F95" s="38">
        <v>29656.52</v>
      </c>
      <c r="G95" s="39">
        <v>51156.52</v>
      </c>
      <c r="H95" s="32">
        <v>78574.65000000001</v>
      </c>
      <c r="I95" s="19">
        <f t="shared" si="6"/>
        <v>70717.185</v>
      </c>
      <c r="J95" s="20" t="s">
        <v>63</v>
      </c>
      <c r="K95" s="21" t="s">
        <v>47</v>
      </c>
    </row>
    <row r="96" ht="22.5" customHeight="1">
      <c r="A96" s="28" t="s">
        <v>95</v>
      </c>
      <c r="B96" s="15">
        <v>50.0</v>
      </c>
      <c r="C96" s="15">
        <v>260.0</v>
      </c>
      <c r="D96" s="34" t="s">
        <v>31</v>
      </c>
      <c r="E96" s="29">
        <v>21500.0</v>
      </c>
      <c r="F96" s="38">
        <v>29728.84</v>
      </c>
      <c r="G96" s="39">
        <v>51228.84</v>
      </c>
      <c r="H96" s="32">
        <v>78833.37000000001</v>
      </c>
      <c r="I96" s="19">
        <f t="shared" si="6"/>
        <v>70950.033</v>
      </c>
      <c r="J96" s="20" t="s">
        <v>63</v>
      </c>
      <c r="K96" s="21" t="s">
        <v>47</v>
      </c>
    </row>
    <row r="97" ht="22.5" customHeight="1">
      <c r="A97" s="28" t="s">
        <v>96</v>
      </c>
      <c r="B97" s="15">
        <v>105.0</v>
      </c>
      <c r="C97" s="15">
        <v>255.0</v>
      </c>
      <c r="D97" s="34" t="s">
        <v>31</v>
      </c>
      <c r="E97" s="29">
        <v>20840.0</v>
      </c>
      <c r="F97" s="38">
        <v>29614.73</v>
      </c>
      <c r="G97" s="39">
        <v>50454.73</v>
      </c>
      <c r="H97" s="43">
        <v>78424.5</v>
      </c>
      <c r="I97" s="19">
        <f t="shared" si="6"/>
        <v>70582.05</v>
      </c>
      <c r="J97" s="20" t="s">
        <v>63</v>
      </c>
      <c r="K97" s="21" t="s">
        <v>47</v>
      </c>
    </row>
    <row r="98" ht="22.5" customHeight="1">
      <c r="A98" s="28" t="s">
        <v>97</v>
      </c>
      <c r="B98" s="15">
        <v>120.0</v>
      </c>
      <c r="C98" s="15">
        <v>250.0</v>
      </c>
      <c r="D98" s="34" t="s">
        <v>31</v>
      </c>
      <c r="E98" s="29">
        <v>20560.0</v>
      </c>
      <c r="F98" s="38">
        <v>29358.78</v>
      </c>
      <c r="G98" s="39">
        <v>49918.78</v>
      </c>
      <c r="H98" s="43">
        <v>77508.58500000002</v>
      </c>
      <c r="I98" s="19">
        <f t="shared" si="6"/>
        <v>69757.7265</v>
      </c>
      <c r="J98" s="20" t="s">
        <v>63</v>
      </c>
      <c r="K98" s="21" t="s">
        <v>47</v>
      </c>
    </row>
    <row r="99" ht="22.5" customHeight="1">
      <c r="A99" s="28" t="s">
        <v>98</v>
      </c>
      <c r="B99" s="15">
        <v>80.0</v>
      </c>
      <c r="C99" s="15">
        <v>250.0</v>
      </c>
      <c r="D99" s="34" t="s">
        <v>31</v>
      </c>
      <c r="E99" s="29">
        <v>20788.0</v>
      </c>
      <c r="F99" s="40">
        <v>28788.49</v>
      </c>
      <c r="G99" s="41">
        <v>49576.49</v>
      </c>
      <c r="H99" s="32">
        <v>75467.7</v>
      </c>
      <c r="I99" s="19">
        <f t="shared" si="6"/>
        <v>67920.93</v>
      </c>
      <c r="J99" s="20" t="s">
        <v>63</v>
      </c>
      <c r="K99" s="21" t="s">
        <v>47</v>
      </c>
    </row>
    <row r="100" ht="22.5" customHeight="1">
      <c r="A100" s="28" t="s">
        <v>99</v>
      </c>
      <c r="B100" s="15">
        <v>120.0</v>
      </c>
      <c r="C100" s="15">
        <v>240.0</v>
      </c>
      <c r="D100" s="34" t="s">
        <v>31</v>
      </c>
      <c r="E100" s="29">
        <v>20000.0</v>
      </c>
      <c r="F100" s="38">
        <v>27488.04</v>
      </c>
      <c r="G100" s="39">
        <v>47488.04</v>
      </c>
      <c r="H100" s="32">
        <v>70814.20500000002</v>
      </c>
      <c r="I100" s="19">
        <f t="shared" si="6"/>
        <v>63732.7845</v>
      </c>
      <c r="J100" s="20" t="s">
        <v>63</v>
      </c>
      <c r="K100" s="21" t="s">
        <v>47</v>
      </c>
    </row>
    <row r="101" ht="22.5" customHeight="1">
      <c r="A101" s="28" t="s">
        <v>100</v>
      </c>
      <c r="B101" s="15">
        <v>110.0</v>
      </c>
      <c r="C101" s="15">
        <v>240.0</v>
      </c>
      <c r="D101" s="34" t="s">
        <v>31</v>
      </c>
      <c r="E101" s="29">
        <v>20000.0</v>
      </c>
      <c r="F101" s="38">
        <v>27229.12</v>
      </c>
      <c r="G101" s="39">
        <v>47229.12</v>
      </c>
      <c r="H101" s="32">
        <v>69887.89500000002</v>
      </c>
      <c r="I101" s="19">
        <f t="shared" si="6"/>
        <v>62899.1055</v>
      </c>
      <c r="J101" s="20" t="s">
        <v>63</v>
      </c>
      <c r="K101" s="21" t="s">
        <v>47</v>
      </c>
    </row>
    <row r="102" ht="22.5" customHeight="1">
      <c r="A102" s="28" t="s">
        <v>101</v>
      </c>
      <c r="B102" s="15">
        <v>100.0</v>
      </c>
      <c r="C102" s="15">
        <v>240.0</v>
      </c>
      <c r="D102" s="34" t="s">
        <v>31</v>
      </c>
      <c r="E102" s="29">
        <v>20000.0</v>
      </c>
      <c r="F102" s="38">
        <v>27047.88</v>
      </c>
      <c r="G102" s="39">
        <v>47047.88</v>
      </c>
      <c r="H102" s="32">
        <v>69238.78500000002</v>
      </c>
      <c r="I102" s="19">
        <f t="shared" si="6"/>
        <v>62314.9065</v>
      </c>
      <c r="J102" s="20" t="s">
        <v>63</v>
      </c>
      <c r="K102" s="21" t="s">
        <v>47</v>
      </c>
    </row>
    <row r="103" ht="22.5" customHeight="1">
      <c r="A103" s="28" t="s">
        <v>102</v>
      </c>
      <c r="B103" s="15">
        <v>61.0</v>
      </c>
      <c r="C103" s="15">
        <v>240.0</v>
      </c>
      <c r="D103" s="34" t="s">
        <v>31</v>
      </c>
      <c r="E103" s="29">
        <v>19810.0</v>
      </c>
      <c r="F103" s="38">
        <v>26806.8</v>
      </c>
      <c r="G103" s="39">
        <v>46616.8</v>
      </c>
      <c r="H103" s="32">
        <v>68376.00000000001</v>
      </c>
      <c r="I103" s="19">
        <f t="shared" si="6"/>
        <v>61538.4</v>
      </c>
      <c r="J103" s="20" t="s">
        <v>63</v>
      </c>
      <c r="K103" s="21" t="s">
        <v>47</v>
      </c>
    </row>
    <row r="104" ht="22.5" customHeight="1">
      <c r="A104" s="28" t="s">
        <v>103</v>
      </c>
      <c r="B104" s="15">
        <v>90.0</v>
      </c>
      <c r="C104" s="15">
        <v>230.0</v>
      </c>
      <c r="D104" s="34" t="s">
        <v>31</v>
      </c>
      <c r="E104" s="29">
        <v>19630.0</v>
      </c>
      <c r="F104" s="38">
        <v>26975.23</v>
      </c>
      <c r="G104" s="39">
        <v>46605.23</v>
      </c>
      <c r="H104" s="32">
        <v>68978.91000000002</v>
      </c>
      <c r="I104" s="19">
        <f t="shared" si="6"/>
        <v>62081.019</v>
      </c>
      <c r="J104" s="20" t="s">
        <v>63</v>
      </c>
      <c r="K104" s="21" t="s">
        <v>47</v>
      </c>
    </row>
    <row r="105" ht="22.5" customHeight="1">
      <c r="A105" s="28" t="s">
        <v>104</v>
      </c>
      <c r="B105" s="15">
        <v>120.0</v>
      </c>
      <c r="C105" s="15">
        <v>230.0</v>
      </c>
      <c r="D105" s="34" t="s">
        <v>31</v>
      </c>
      <c r="E105" s="29">
        <v>19820.0</v>
      </c>
      <c r="F105" s="38">
        <v>27452.3</v>
      </c>
      <c r="G105" s="39">
        <v>47272.3</v>
      </c>
      <c r="H105" s="32">
        <v>70686.0</v>
      </c>
      <c r="I105" s="19">
        <f t="shared" si="6"/>
        <v>63617.4</v>
      </c>
      <c r="J105" s="20" t="s">
        <v>63</v>
      </c>
      <c r="K105" s="21" t="s">
        <v>47</v>
      </c>
    </row>
    <row r="106" ht="22.5" customHeight="1">
      <c r="A106" s="28" t="s">
        <v>105</v>
      </c>
      <c r="B106" s="15">
        <v>120.0</v>
      </c>
      <c r="C106" s="15">
        <v>220.0</v>
      </c>
      <c r="D106" s="34" t="s">
        <v>31</v>
      </c>
      <c r="E106" s="29">
        <v>18880.0</v>
      </c>
      <c r="F106" s="38">
        <v>26957.25</v>
      </c>
      <c r="G106" s="39">
        <v>45837.25</v>
      </c>
      <c r="H106" s="32">
        <v>68914.23000000001</v>
      </c>
      <c r="I106" s="19">
        <f t="shared" si="6"/>
        <v>62022.807</v>
      </c>
      <c r="J106" s="20" t="s">
        <v>63</v>
      </c>
      <c r="K106" s="21" t="s">
        <v>47</v>
      </c>
    </row>
    <row r="107" ht="22.5" customHeight="1">
      <c r="A107" s="28" t="s">
        <v>106</v>
      </c>
      <c r="B107" s="15">
        <v>110.0</v>
      </c>
      <c r="C107" s="15">
        <v>220.0</v>
      </c>
      <c r="D107" s="34" t="s">
        <v>31</v>
      </c>
      <c r="E107" s="29">
        <v>18880.0</v>
      </c>
      <c r="F107" s="38">
        <v>26866.63</v>
      </c>
      <c r="G107" s="39">
        <v>45746.63</v>
      </c>
      <c r="H107" s="32">
        <v>68589.67500000002</v>
      </c>
      <c r="I107" s="19">
        <f t="shared" si="6"/>
        <v>61730.7075</v>
      </c>
      <c r="J107" s="20" t="s">
        <v>63</v>
      </c>
      <c r="K107" s="21" t="s">
        <v>47</v>
      </c>
    </row>
    <row r="108" ht="22.5" customHeight="1">
      <c r="A108" s="28" t="s">
        <v>107</v>
      </c>
      <c r="B108" s="15">
        <v>100.0</v>
      </c>
      <c r="C108" s="15">
        <v>220.0</v>
      </c>
      <c r="D108" s="34" t="s">
        <v>31</v>
      </c>
      <c r="E108" s="29">
        <v>18880.0</v>
      </c>
      <c r="F108" s="38">
        <v>26709.98</v>
      </c>
      <c r="G108" s="39">
        <v>45589.98</v>
      </c>
      <c r="H108" s="32">
        <v>68029.50000000001</v>
      </c>
      <c r="I108" s="19">
        <f t="shared" si="6"/>
        <v>61226.55</v>
      </c>
      <c r="J108" s="20" t="s">
        <v>63</v>
      </c>
      <c r="K108" s="21" t="s">
        <v>47</v>
      </c>
    </row>
    <row r="109" ht="22.5" customHeight="1">
      <c r="A109" s="28" t="s">
        <v>108</v>
      </c>
      <c r="B109" s="15">
        <v>90.0</v>
      </c>
      <c r="C109" s="15">
        <v>220.0</v>
      </c>
      <c r="D109" s="34" t="s">
        <v>31</v>
      </c>
      <c r="E109" s="29">
        <v>18975.0</v>
      </c>
      <c r="F109" s="38">
        <v>26527.06</v>
      </c>
      <c r="G109" s="39">
        <v>45502.06</v>
      </c>
      <c r="H109" s="32">
        <v>67374.615</v>
      </c>
      <c r="I109" s="19">
        <f t="shared" si="6"/>
        <v>60637.1535</v>
      </c>
      <c r="J109" s="20" t="s">
        <v>63</v>
      </c>
      <c r="K109" s="21" t="s">
        <v>47</v>
      </c>
    </row>
    <row r="110" ht="22.5" customHeight="1">
      <c r="A110" s="28" t="s">
        <v>109</v>
      </c>
      <c r="B110" s="15">
        <v>120.0</v>
      </c>
      <c r="C110" s="15">
        <v>210.0</v>
      </c>
      <c r="D110" s="34" t="s">
        <v>31</v>
      </c>
      <c r="E110" s="29">
        <v>18320.0</v>
      </c>
      <c r="F110" s="38">
        <v>26387.23</v>
      </c>
      <c r="G110" s="39">
        <v>44707.23</v>
      </c>
      <c r="H110" s="32">
        <v>66874.50000000001</v>
      </c>
      <c r="I110" s="19">
        <f t="shared" si="6"/>
        <v>60187.05</v>
      </c>
      <c r="J110" s="20" t="s">
        <v>63</v>
      </c>
      <c r="K110" s="21" t="s">
        <v>47</v>
      </c>
    </row>
    <row r="111" ht="22.5" customHeight="1">
      <c r="A111" s="14" t="s">
        <v>110</v>
      </c>
      <c r="B111" s="15">
        <v>100.0</v>
      </c>
      <c r="C111" s="15">
        <v>200.0</v>
      </c>
      <c r="D111" s="34" t="s">
        <v>31</v>
      </c>
      <c r="E111" s="16">
        <v>17760.0</v>
      </c>
      <c r="F111" s="45">
        <v>25869.79</v>
      </c>
      <c r="G111" s="46">
        <v>43629.79</v>
      </c>
      <c r="H111" s="19">
        <v>65023.03500000001</v>
      </c>
      <c r="I111" s="19">
        <f t="shared" si="6"/>
        <v>58520.7315</v>
      </c>
      <c r="J111" s="20" t="s">
        <v>63</v>
      </c>
      <c r="K111" s="21" t="s">
        <v>47</v>
      </c>
    </row>
    <row r="112" ht="22.5" customHeight="1">
      <c r="A112" s="28" t="s">
        <v>111</v>
      </c>
      <c r="B112" s="15">
        <v>90.0</v>
      </c>
      <c r="C112" s="15">
        <v>200.0</v>
      </c>
      <c r="D112" s="34" t="s">
        <v>31</v>
      </c>
      <c r="E112" s="29">
        <v>17760.0</v>
      </c>
      <c r="F112" s="38">
        <v>25597.92</v>
      </c>
      <c r="G112" s="39">
        <v>43357.92</v>
      </c>
      <c r="H112" s="32">
        <v>64049.37</v>
      </c>
      <c r="I112" s="19">
        <f t="shared" si="6"/>
        <v>57644.433</v>
      </c>
      <c r="J112" s="20" t="s">
        <v>63</v>
      </c>
      <c r="K112" s="21" t="s">
        <v>47</v>
      </c>
    </row>
    <row r="113" ht="22.5" customHeight="1">
      <c r="A113" s="28" t="s">
        <v>112</v>
      </c>
      <c r="B113" s="15">
        <v>80.0</v>
      </c>
      <c r="C113" s="15">
        <v>200.0</v>
      </c>
      <c r="D113" s="34" t="s">
        <v>31</v>
      </c>
      <c r="E113" s="29">
        <v>17760.0</v>
      </c>
      <c r="F113" s="38">
        <v>25688.54</v>
      </c>
      <c r="G113" s="39">
        <v>43448.54</v>
      </c>
      <c r="H113" s="32">
        <v>64373.92500000001</v>
      </c>
      <c r="I113" s="19">
        <f t="shared" si="6"/>
        <v>57936.5325</v>
      </c>
      <c r="J113" s="20" t="s">
        <v>63</v>
      </c>
      <c r="K113" s="21" t="s">
        <v>47</v>
      </c>
    </row>
    <row r="114" ht="22.5" customHeight="1">
      <c r="A114" s="28" t="s">
        <v>113</v>
      </c>
      <c r="B114" s="15">
        <v>60.0</v>
      </c>
      <c r="C114" s="15">
        <v>200.0</v>
      </c>
      <c r="D114" s="34" t="s">
        <v>31</v>
      </c>
      <c r="E114" s="29">
        <v>17760.0</v>
      </c>
      <c r="F114" s="38">
        <v>25322.15</v>
      </c>
      <c r="G114" s="39">
        <v>43082.15</v>
      </c>
      <c r="H114" s="32">
        <v>63063.00000000001</v>
      </c>
      <c r="I114" s="19">
        <f t="shared" si="6"/>
        <v>56756.7</v>
      </c>
      <c r="J114" s="20" t="s">
        <v>63</v>
      </c>
      <c r="K114" s="21" t="s">
        <v>47</v>
      </c>
    </row>
    <row r="115" ht="22.5" customHeight="1">
      <c r="A115" s="28" t="s">
        <v>114</v>
      </c>
      <c r="B115" s="15">
        <v>90.0</v>
      </c>
      <c r="C115" s="15">
        <v>190.0</v>
      </c>
      <c r="D115" s="34" t="s">
        <v>31</v>
      </c>
      <c r="E115" s="29">
        <v>17200.0</v>
      </c>
      <c r="F115" s="38">
        <v>25688.54</v>
      </c>
      <c r="G115" s="39">
        <v>42888.54</v>
      </c>
      <c r="H115" s="32">
        <v>64373.92500000001</v>
      </c>
      <c r="I115" s="19">
        <f t="shared" si="6"/>
        <v>57936.5325</v>
      </c>
      <c r="J115" s="20" t="s">
        <v>63</v>
      </c>
      <c r="K115" s="21" t="s">
        <v>47</v>
      </c>
    </row>
    <row r="116" ht="22.5" customHeight="1">
      <c r="A116" s="28" t="s">
        <v>115</v>
      </c>
      <c r="B116" s="15">
        <v>80.0</v>
      </c>
      <c r="C116" s="15">
        <v>190.0</v>
      </c>
      <c r="D116" s="34" t="s">
        <v>31</v>
      </c>
      <c r="E116" s="29">
        <v>17105.0</v>
      </c>
      <c r="F116" s="38">
        <v>25580.35</v>
      </c>
      <c r="G116" s="39">
        <v>42685.35</v>
      </c>
      <c r="H116" s="32">
        <v>63987.00000000001</v>
      </c>
      <c r="I116" s="19">
        <f t="shared" si="6"/>
        <v>57588.3</v>
      </c>
      <c r="J116" s="20" t="s">
        <v>63</v>
      </c>
      <c r="K116" s="21" t="s">
        <v>47</v>
      </c>
    </row>
    <row r="117" ht="22.5" customHeight="1">
      <c r="A117" s="14" t="s">
        <v>116</v>
      </c>
      <c r="B117" s="15">
        <v>90.0</v>
      </c>
      <c r="C117" s="15">
        <v>180.0</v>
      </c>
      <c r="D117" s="34" t="s">
        <v>31</v>
      </c>
      <c r="E117" s="16">
        <v>16450.0</v>
      </c>
      <c r="F117" s="45">
        <v>25280.74</v>
      </c>
      <c r="G117" s="46">
        <v>41730.74</v>
      </c>
      <c r="H117" s="19">
        <v>62915.16000000001</v>
      </c>
      <c r="I117" s="19">
        <f t="shared" si="6"/>
        <v>56623.644</v>
      </c>
      <c r="J117" s="20" t="s">
        <v>63</v>
      </c>
      <c r="K117" s="21" t="s">
        <v>47</v>
      </c>
    </row>
    <row r="118" ht="22.5" customHeight="1">
      <c r="A118" s="28" t="s">
        <v>117</v>
      </c>
      <c r="B118" s="15">
        <v>85.0</v>
      </c>
      <c r="C118" s="15">
        <v>180.0</v>
      </c>
      <c r="D118" s="34" t="s">
        <v>31</v>
      </c>
      <c r="E118" s="29">
        <v>16450.0</v>
      </c>
      <c r="F118" s="38">
        <v>25235.43</v>
      </c>
      <c r="G118" s="39">
        <v>41685.43</v>
      </c>
      <c r="H118" s="32">
        <v>62752.30500000001</v>
      </c>
      <c r="I118" s="19">
        <f t="shared" si="6"/>
        <v>56477.0745</v>
      </c>
      <c r="J118" s="20" t="s">
        <v>63</v>
      </c>
      <c r="K118" s="21" t="s">
        <v>47</v>
      </c>
    </row>
    <row r="119" ht="22.5" customHeight="1">
      <c r="A119" s="28" t="s">
        <v>118</v>
      </c>
      <c r="B119" s="15">
        <v>80.0</v>
      </c>
      <c r="C119" s="15">
        <v>180.0</v>
      </c>
      <c r="D119" s="34" t="s">
        <v>31</v>
      </c>
      <c r="E119" s="29">
        <v>16450.0</v>
      </c>
      <c r="F119" s="38">
        <v>25144.81</v>
      </c>
      <c r="G119" s="39">
        <v>41594.81</v>
      </c>
      <c r="H119" s="32">
        <v>62428.905000000006</v>
      </c>
      <c r="I119" s="19">
        <f t="shared" si="6"/>
        <v>56186.0145</v>
      </c>
      <c r="J119" s="20" t="s">
        <v>63</v>
      </c>
      <c r="K119" s="21" t="s">
        <v>47</v>
      </c>
    </row>
    <row r="120" ht="22.5" customHeight="1">
      <c r="A120" s="28" t="s">
        <v>119</v>
      </c>
      <c r="B120" s="15">
        <v>75.0</v>
      </c>
      <c r="C120" s="15">
        <v>180.0</v>
      </c>
      <c r="D120" s="34" t="s">
        <v>31</v>
      </c>
      <c r="E120" s="29">
        <v>16450.0</v>
      </c>
      <c r="F120" s="38">
        <v>25054.18</v>
      </c>
      <c r="G120" s="39">
        <v>41504.18</v>
      </c>
      <c r="H120" s="32">
        <v>62104.35000000001</v>
      </c>
      <c r="I120" s="19">
        <f t="shared" si="6"/>
        <v>55893.915</v>
      </c>
      <c r="J120" s="20" t="s">
        <v>63</v>
      </c>
      <c r="K120" s="21" t="s">
        <v>47</v>
      </c>
    </row>
    <row r="121" ht="22.5" customHeight="1">
      <c r="A121" s="28" t="s">
        <v>120</v>
      </c>
      <c r="B121" s="15">
        <v>60.0</v>
      </c>
      <c r="C121" s="15">
        <v>180.0</v>
      </c>
      <c r="D121" s="34" t="s">
        <v>31</v>
      </c>
      <c r="E121" s="29">
        <v>16412.0</v>
      </c>
      <c r="F121" s="38">
        <v>9947.4</v>
      </c>
      <c r="G121" s="39">
        <v>26359.4</v>
      </c>
      <c r="H121" s="32">
        <v>62104.35000000001</v>
      </c>
      <c r="I121" s="19">
        <f t="shared" si="6"/>
        <v>55893.915</v>
      </c>
      <c r="J121" s="20" t="s">
        <v>63</v>
      </c>
      <c r="K121" s="21" t="s">
        <v>47</v>
      </c>
    </row>
    <row r="122" ht="22.5" customHeight="1">
      <c r="A122" s="28" t="s">
        <v>121</v>
      </c>
      <c r="B122" s="15">
        <v>90.0</v>
      </c>
      <c r="C122" s="15">
        <v>170.0</v>
      </c>
      <c r="D122" s="34" t="s">
        <v>31</v>
      </c>
      <c r="E122" s="29">
        <v>15890.0</v>
      </c>
      <c r="F122" s="38">
        <v>25190.12</v>
      </c>
      <c r="G122" s="39">
        <v>41080.12</v>
      </c>
      <c r="H122" s="32">
        <v>62590.60500000001</v>
      </c>
      <c r="I122" s="19">
        <f t="shared" si="6"/>
        <v>56331.5445</v>
      </c>
      <c r="J122" s="20" t="s">
        <v>63</v>
      </c>
      <c r="K122" s="21" t="s">
        <v>47</v>
      </c>
    </row>
    <row r="123" ht="22.5" customHeight="1">
      <c r="A123" s="28" t="s">
        <v>122</v>
      </c>
      <c r="B123" s="15">
        <v>100.0</v>
      </c>
      <c r="C123" s="15">
        <v>160.0</v>
      </c>
      <c r="D123" s="34" t="s">
        <v>31</v>
      </c>
      <c r="E123" s="29">
        <v>15330.0</v>
      </c>
      <c r="F123" s="38">
        <v>25190.12</v>
      </c>
      <c r="G123" s="39">
        <v>40520.12</v>
      </c>
      <c r="H123" s="32">
        <v>62590.60500000001</v>
      </c>
      <c r="I123" s="19">
        <f t="shared" si="6"/>
        <v>56331.5445</v>
      </c>
      <c r="J123" s="20" t="s">
        <v>63</v>
      </c>
      <c r="K123" s="21" t="s">
        <v>47</v>
      </c>
    </row>
    <row r="124" ht="22.5" customHeight="1">
      <c r="A124" s="28" t="s">
        <v>123</v>
      </c>
      <c r="B124" s="15">
        <v>90.0</v>
      </c>
      <c r="C124" s="15">
        <v>160.0</v>
      </c>
      <c r="D124" s="34" t="s">
        <v>31</v>
      </c>
      <c r="E124" s="29">
        <v>15330.0</v>
      </c>
      <c r="F124" s="38">
        <v>25054.18</v>
      </c>
      <c r="G124" s="39">
        <v>40384.18</v>
      </c>
      <c r="H124" s="32">
        <v>62104.35000000001</v>
      </c>
      <c r="I124" s="19">
        <f t="shared" si="6"/>
        <v>55893.915</v>
      </c>
      <c r="J124" s="20" t="s">
        <v>63</v>
      </c>
      <c r="K124" s="21" t="s">
        <v>47</v>
      </c>
    </row>
    <row r="125" ht="22.5" customHeight="1">
      <c r="A125" s="14" t="s">
        <v>124</v>
      </c>
      <c r="B125" s="15">
        <v>80.0</v>
      </c>
      <c r="C125" s="15">
        <v>160.0</v>
      </c>
      <c r="D125" s="34" t="s">
        <v>31</v>
      </c>
      <c r="E125" s="16">
        <v>15330.0</v>
      </c>
      <c r="F125" s="45">
        <v>24646.38</v>
      </c>
      <c r="G125" s="46">
        <v>39976.38</v>
      </c>
      <c r="H125" s="19">
        <v>60644.43000000001</v>
      </c>
      <c r="I125" s="19">
        <f t="shared" si="6"/>
        <v>54579.987</v>
      </c>
      <c r="J125" s="20" t="s">
        <v>63</v>
      </c>
      <c r="K125" s="21" t="s">
        <v>47</v>
      </c>
    </row>
    <row r="126" ht="22.5" customHeight="1">
      <c r="A126" s="28" t="s">
        <v>125</v>
      </c>
      <c r="B126" s="15">
        <v>80.0</v>
      </c>
      <c r="C126" s="15">
        <v>156.0</v>
      </c>
      <c r="D126" s="34" t="s">
        <v>31</v>
      </c>
      <c r="E126" s="29">
        <v>14860.0</v>
      </c>
      <c r="F126" s="38">
        <v>24450.73</v>
      </c>
      <c r="G126" s="39">
        <v>39310.73</v>
      </c>
      <c r="H126" s="32">
        <v>59944.50000000001</v>
      </c>
      <c r="I126" s="19">
        <f t="shared" si="6"/>
        <v>53950.05</v>
      </c>
      <c r="J126" s="20" t="s">
        <v>63</v>
      </c>
      <c r="K126" s="21" t="s">
        <v>47</v>
      </c>
    </row>
    <row r="127" ht="22.5" customHeight="1">
      <c r="A127" s="28" t="s">
        <v>126</v>
      </c>
      <c r="B127" s="15">
        <v>90.0</v>
      </c>
      <c r="C127" s="15">
        <v>155.0</v>
      </c>
      <c r="D127" s="34" t="s">
        <v>31</v>
      </c>
      <c r="E127" s="29">
        <v>14860.0</v>
      </c>
      <c r="F127" s="38">
        <v>24515.28</v>
      </c>
      <c r="G127" s="39">
        <v>39375.28</v>
      </c>
      <c r="H127" s="32">
        <v>60175.50000000001</v>
      </c>
      <c r="I127" s="19">
        <f t="shared" si="6"/>
        <v>54157.95</v>
      </c>
      <c r="J127" s="20" t="s">
        <v>63</v>
      </c>
      <c r="K127" s="21" t="s">
        <v>47</v>
      </c>
    </row>
    <row r="128" ht="22.5" customHeight="1">
      <c r="A128" s="28" t="s">
        <v>127</v>
      </c>
      <c r="B128" s="15">
        <v>120.0</v>
      </c>
      <c r="C128" s="15">
        <v>150.0</v>
      </c>
      <c r="D128" s="34" t="s">
        <v>31</v>
      </c>
      <c r="E128" s="29">
        <v>14580.0</v>
      </c>
      <c r="F128" s="38">
        <v>25257.6</v>
      </c>
      <c r="G128" s="39">
        <v>39837.6</v>
      </c>
      <c r="H128" s="32">
        <v>62832.00000000001</v>
      </c>
      <c r="I128" s="19">
        <f t="shared" si="6"/>
        <v>56548.8</v>
      </c>
      <c r="J128" s="20" t="s">
        <v>63</v>
      </c>
      <c r="K128" s="21" t="s">
        <v>47</v>
      </c>
    </row>
    <row r="129" ht="22.5" customHeight="1">
      <c r="A129" s="28" t="s">
        <v>128</v>
      </c>
      <c r="B129" s="15">
        <v>100.0</v>
      </c>
      <c r="C129" s="15">
        <v>150.0</v>
      </c>
      <c r="D129" s="34" t="s">
        <v>31</v>
      </c>
      <c r="E129" s="29">
        <v>14580.0</v>
      </c>
      <c r="F129" s="38">
        <v>25125.8</v>
      </c>
      <c r="G129" s="39">
        <v>39705.8</v>
      </c>
      <c r="H129" s="32">
        <v>62360.76000000001</v>
      </c>
      <c r="I129" s="19">
        <f t="shared" si="6"/>
        <v>56124.684</v>
      </c>
      <c r="J129" s="20" t="s">
        <v>63</v>
      </c>
      <c r="K129" s="21" t="s">
        <v>47</v>
      </c>
    </row>
    <row r="130" ht="22.5" customHeight="1">
      <c r="A130" s="28" t="s">
        <v>129</v>
      </c>
      <c r="B130" s="15">
        <v>90.0</v>
      </c>
      <c r="C130" s="15">
        <v>150.0</v>
      </c>
      <c r="D130" s="34" t="s">
        <v>31</v>
      </c>
      <c r="E130" s="29">
        <v>14580.0</v>
      </c>
      <c r="F130" s="38">
        <v>24374.52</v>
      </c>
      <c r="G130" s="39">
        <v>38954.52</v>
      </c>
      <c r="H130" s="32">
        <v>59671.920000000006</v>
      </c>
      <c r="I130" s="19">
        <f t="shared" si="6"/>
        <v>53704.728</v>
      </c>
      <c r="J130" s="20" t="s">
        <v>63</v>
      </c>
      <c r="K130" s="21" t="s">
        <v>47</v>
      </c>
    </row>
    <row r="131" ht="22.5" customHeight="1">
      <c r="A131" s="28" t="s">
        <v>130</v>
      </c>
      <c r="B131" s="15">
        <v>80.0</v>
      </c>
      <c r="C131" s="15">
        <v>150.0</v>
      </c>
      <c r="D131" s="34" t="s">
        <v>31</v>
      </c>
      <c r="E131" s="29">
        <v>14580.0</v>
      </c>
      <c r="F131" s="38">
        <v>23921.4</v>
      </c>
      <c r="G131" s="39">
        <v>38501.4</v>
      </c>
      <c r="H131" s="32">
        <v>58050.30000000001</v>
      </c>
      <c r="I131" s="19">
        <f t="shared" si="6"/>
        <v>52245.27</v>
      </c>
      <c r="J131" s="20" t="s">
        <v>63</v>
      </c>
      <c r="K131" s="21" t="s">
        <v>47</v>
      </c>
    </row>
    <row r="132" ht="22.5" customHeight="1">
      <c r="A132" s="28" t="s">
        <v>131</v>
      </c>
      <c r="B132" s="15">
        <v>70.0</v>
      </c>
      <c r="C132" s="15">
        <v>150.0</v>
      </c>
      <c r="D132" s="34" t="s">
        <v>31</v>
      </c>
      <c r="E132" s="29">
        <v>14580.0</v>
      </c>
      <c r="F132" s="38">
        <v>23785.47</v>
      </c>
      <c r="G132" s="39">
        <v>38365.47</v>
      </c>
      <c r="H132" s="32">
        <v>57564.045000000006</v>
      </c>
      <c r="I132" s="19">
        <f t="shared" si="6"/>
        <v>51807.6405</v>
      </c>
      <c r="J132" s="20" t="s">
        <v>63</v>
      </c>
      <c r="K132" s="21" t="s">
        <v>47</v>
      </c>
    </row>
    <row r="133" ht="22.5" customHeight="1">
      <c r="A133" s="28" t="s">
        <v>132</v>
      </c>
      <c r="B133" s="15">
        <v>120.0</v>
      </c>
      <c r="C133" s="15">
        <v>140.0</v>
      </c>
      <c r="D133" s="34" t="s">
        <v>31</v>
      </c>
      <c r="E133" s="29">
        <v>14020.0</v>
      </c>
      <c r="F133" s="38">
        <v>24555.76</v>
      </c>
      <c r="G133" s="39">
        <v>38575.76</v>
      </c>
      <c r="H133" s="32">
        <v>60319.87500000001</v>
      </c>
      <c r="I133" s="19">
        <f t="shared" si="6"/>
        <v>54287.8875</v>
      </c>
      <c r="J133" s="20" t="s">
        <v>63</v>
      </c>
      <c r="K133" s="21" t="s">
        <v>47</v>
      </c>
    </row>
    <row r="134" ht="22.5" customHeight="1">
      <c r="A134" s="28" t="s">
        <v>133</v>
      </c>
      <c r="B134" s="15">
        <v>100.0</v>
      </c>
      <c r="C134" s="15">
        <v>140.0</v>
      </c>
      <c r="D134" s="34" t="s">
        <v>31</v>
      </c>
      <c r="E134" s="29">
        <v>14020.0</v>
      </c>
      <c r="F134" s="38">
        <v>24450.73</v>
      </c>
      <c r="G134" s="39">
        <v>38470.73</v>
      </c>
      <c r="H134" s="32">
        <v>59944.50000000001</v>
      </c>
      <c r="I134" s="19">
        <f t="shared" si="6"/>
        <v>53950.05</v>
      </c>
      <c r="J134" s="20" t="s">
        <v>63</v>
      </c>
      <c r="K134" s="21" t="s">
        <v>47</v>
      </c>
    </row>
    <row r="135" ht="22.5" customHeight="1">
      <c r="A135" s="28" t="s">
        <v>134</v>
      </c>
      <c r="B135" s="15">
        <v>90.0</v>
      </c>
      <c r="C135" s="15">
        <v>140.0</v>
      </c>
      <c r="D135" s="34" t="s">
        <v>31</v>
      </c>
      <c r="E135" s="29">
        <v>14020.0</v>
      </c>
      <c r="F135" s="38">
        <v>24238.58</v>
      </c>
      <c r="G135" s="39">
        <v>38258.58</v>
      </c>
      <c r="H135" s="32">
        <v>59185.66500000001</v>
      </c>
      <c r="I135" s="19">
        <f t="shared" si="6"/>
        <v>53267.0985</v>
      </c>
      <c r="J135" s="20" t="s">
        <v>63</v>
      </c>
      <c r="K135" s="21" t="s">
        <v>47</v>
      </c>
    </row>
    <row r="136" ht="22.5" customHeight="1">
      <c r="A136" s="28" t="s">
        <v>135</v>
      </c>
      <c r="B136" s="15">
        <v>85.0</v>
      </c>
      <c r="C136" s="15">
        <v>140.0</v>
      </c>
      <c r="D136" s="34" t="s">
        <v>31</v>
      </c>
      <c r="E136" s="29">
        <v>14020.0</v>
      </c>
      <c r="F136" s="38">
        <v>23740.16</v>
      </c>
      <c r="G136" s="39">
        <v>37760.16</v>
      </c>
      <c r="H136" s="32">
        <v>57401.19</v>
      </c>
      <c r="I136" s="19">
        <f t="shared" si="6"/>
        <v>51661.071</v>
      </c>
      <c r="J136" s="20" t="s">
        <v>63</v>
      </c>
      <c r="K136" s="21" t="s">
        <v>47</v>
      </c>
    </row>
    <row r="137" ht="22.5" customHeight="1">
      <c r="A137" s="14" t="s">
        <v>136</v>
      </c>
      <c r="B137" s="15">
        <v>80.0</v>
      </c>
      <c r="C137" s="15">
        <v>140.0</v>
      </c>
      <c r="D137" s="34" t="s">
        <v>31</v>
      </c>
      <c r="E137" s="16">
        <v>14020.0</v>
      </c>
      <c r="F137" s="45">
        <v>23604.23</v>
      </c>
      <c r="G137" s="46">
        <v>37624.23</v>
      </c>
      <c r="H137" s="19">
        <v>56914.935000000005</v>
      </c>
      <c r="I137" s="19">
        <f t="shared" si="6"/>
        <v>51223.4415</v>
      </c>
      <c r="J137" s="20" t="s">
        <v>63</v>
      </c>
      <c r="K137" s="21" t="s">
        <v>47</v>
      </c>
    </row>
    <row r="138" ht="22.5" customHeight="1">
      <c r="A138" s="28" t="s">
        <v>137</v>
      </c>
      <c r="B138" s="15">
        <v>70.0</v>
      </c>
      <c r="C138" s="15">
        <v>140.0</v>
      </c>
      <c r="D138" s="34" t="s">
        <v>31</v>
      </c>
      <c r="E138" s="29">
        <v>14020.0</v>
      </c>
      <c r="F138" s="38">
        <v>23151.11</v>
      </c>
      <c r="G138" s="39">
        <v>37171.11</v>
      </c>
      <c r="H138" s="32">
        <v>55293.315</v>
      </c>
      <c r="I138" s="19">
        <f t="shared" si="6"/>
        <v>49763.9835</v>
      </c>
      <c r="J138" s="20" t="s">
        <v>63</v>
      </c>
      <c r="K138" s="21" t="s">
        <v>47</v>
      </c>
    </row>
    <row r="139" ht="22.5" customHeight="1">
      <c r="A139" s="28" t="s">
        <v>138</v>
      </c>
      <c r="B139" s="15">
        <v>90.0</v>
      </c>
      <c r="C139" s="15">
        <v>130.0</v>
      </c>
      <c r="D139" s="34" t="s">
        <v>31</v>
      </c>
      <c r="E139" s="29">
        <v>13460.0</v>
      </c>
      <c r="F139" s="38">
        <v>23422.98</v>
      </c>
      <c r="G139" s="39">
        <v>36882.98</v>
      </c>
      <c r="H139" s="32">
        <v>56266.98000000001</v>
      </c>
      <c r="I139" s="19">
        <f t="shared" si="6"/>
        <v>50640.282</v>
      </c>
      <c r="J139" s="20" t="s">
        <v>63</v>
      </c>
      <c r="K139" s="21" t="s">
        <v>47</v>
      </c>
    </row>
    <row r="140" ht="22.5" customHeight="1">
      <c r="A140" s="28" t="s">
        <v>139</v>
      </c>
      <c r="B140" s="15">
        <v>80.0</v>
      </c>
      <c r="C140" s="15">
        <v>130.0</v>
      </c>
      <c r="D140" s="34" t="s">
        <v>31</v>
      </c>
      <c r="E140" s="29">
        <v>13460.0</v>
      </c>
      <c r="F140" s="38">
        <v>23060.49</v>
      </c>
      <c r="G140" s="39">
        <v>36520.49</v>
      </c>
      <c r="H140" s="32">
        <v>54969.91500000001</v>
      </c>
      <c r="I140" s="19">
        <f t="shared" si="6"/>
        <v>49472.9235</v>
      </c>
      <c r="J140" s="20" t="s">
        <v>63</v>
      </c>
      <c r="K140" s="21" t="s">
        <v>47</v>
      </c>
    </row>
    <row r="141" ht="22.5" customHeight="1">
      <c r="A141" s="28" t="s">
        <v>140</v>
      </c>
      <c r="B141" s="15">
        <v>70.0</v>
      </c>
      <c r="C141" s="15">
        <v>130.0</v>
      </c>
      <c r="D141" s="34" t="s">
        <v>31</v>
      </c>
      <c r="E141" s="29">
        <v>13460.0</v>
      </c>
      <c r="F141" s="38">
        <v>22743.31</v>
      </c>
      <c r="G141" s="39">
        <v>36203.31</v>
      </c>
      <c r="H141" s="32">
        <v>53834.55000000001</v>
      </c>
      <c r="I141" s="19">
        <f t="shared" si="6"/>
        <v>48451.095</v>
      </c>
      <c r="J141" s="20" t="s">
        <v>63</v>
      </c>
      <c r="K141" s="21" t="s">
        <v>47</v>
      </c>
    </row>
    <row r="142" ht="22.5" customHeight="1">
      <c r="A142" s="28" t="s">
        <v>141</v>
      </c>
      <c r="B142" s="15">
        <v>60.0</v>
      </c>
      <c r="C142" s="15">
        <v>130.0</v>
      </c>
      <c r="D142" s="34" t="s">
        <v>31</v>
      </c>
      <c r="E142" s="29">
        <v>13460.0</v>
      </c>
      <c r="F142" s="38">
        <v>22578.78</v>
      </c>
      <c r="G142" s="39">
        <v>36038.78</v>
      </c>
      <c r="H142" s="32">
        <v>53245.50000000001</v>
      </c>
      <c r="I142" s="19">
        <f t="shared" si="6"/>
        <v>47920.95</v>
      </c>
      <c r="J142" s="20" t="s">
        <v>63</v>
      </c>
      <c r="K142" s="21" t="s">
        <v>47</v>
      </c>
    </row>
    <row r="143" ht="22.5" customHeight="1">
      <c r="A143" s="28" t="s">
        <v>142</v>
      </c>
      <c r="B143" s="15">
        <v>90.0</v>
      </c>
      <c r="C143" s="15">
        <v>120.0</v>
      </c>
      <c r="D143" s="34" t="s">
        <v>31</v>
      </c>
      <c r="E143" s="29">
        <v>10470.0</v>
      </c>
      <c r="F143" s="38">
        <v>22244.89</v>
      </c>
      <c r="G143" s="39">
        <v>32714.89</v>
      </c>
      <c r="H143" s="32">
        <v>52051.23000000001</v>
      </c>
      <c r="I143" s="19">
        <f t="shared" si="6"/>
        <v>46846.107</v>
      </c>
      <c r="J143" s="20" t="s">
        <v>63</v>
      </c>
      <c r="K143" s="21" t="s">
        <v>47</v>
      </c>
    </row>
    <row r="144" ht="22.5" customHeight="1">
      <c r="A144" s="14" t="s">
        <v>143</v>
      </c>
      <c r="B144" s="15">
        <v>80.0</v>
      </c>
      <c r="C144" s="15">
        <v>120.0</v>
      </c>
      <c r="D144" s="34" t="s">
        <v>31</v>
      </c>
      <c r="E144" s="16">
        <v>10470.0</v>
      </c>
      <c r="F144" s="45">
        <v>22018.33</v>
      </c>
      <c r="G144" s="46">
        <v>32488.33</v>
      </c>
      <c r="H144" s="19">
        <v>51240.420000000006</v>
      </c>
      <c r="I144" s="19">
        <f t="shared" si="6"/>
        <v>46116.378</v>
      </c>
      <c r="J144" s="20" t="s">
        <v>63</v>
      </c>
      <c r="K144" s="21" t="s">
        <v>47</v>
      </c>
    </row>
    <row r="145" ht="22.5" customHeight="1">
      <c r="A145" s="28" t="s">
        <v>144</v>
      </c>
      <c r="B145" s="15">
        <v>70.0</v>
      </c>
      <c r="C145" s="15">
        <v>120.0</v>
      </c>
      <c r="D145" s="34" t="s">
        <v>31</v>
      </c>
      <c r="E145" s="29">
        <v>10470.0</v>
      </c>
      <c r="F145" s="38">
        <v>21519.91</v>
      </c>
      <c r="G145" s="39">
        <v>31989.91</v>
      </c>
      <c r="H145" s="32">
        <v>49455.94500000001</v>
      </c>
      <c r="I145" s="19">
        <f t="shared" si="6"/>
        <v>44510.3505</v>
      </c>
      <c r="J145" s="20" t="s">
        <v>63</v>
      </c>
      <c r="K145" s="21" t="s">
        <v>47</v>
      </c>
    </row>
    <row r="146" ht="22.5" customHeight="1">
      <c r="A146" s="28" t="s">
        <v>145</v>
      </c>
      <c r="B146" s="15">
        <v>70.0</v>
      </c>
      <c r="C146" s="15">
        <v>100.0</v>
      </c>
      <c r="D146" s="34" t="s">
        <v>31</v>
      </c>
      <c r="E146" s="29">
        <v>9986.0</v>
      </c>
      <c r="F146" s="38">
        <v>21383.98</v>
      </c>
      <c r="G146" s="39">
        <v>31369.98</v>
      </c>
      <c r="H146" s="32">
        <v>48969.69</v>
      </c>
      <c r="I146" s="19">
        <f t="shared" si="6"/>
        <v>44072.721</v>
      </c>
      <c r="J146" s="20" t="s">
        <v>63</v>
      </c>
      <c r="K146" s="21" t="s">
        <v>47</v>
      </c>
    </row>
    <row r="147" ht="22.5" customHeight="1">
      <c r="A147" s="28" t="s">
        <v>146</v>
      </c>
      <c r="B147" s="15">
        <v>60.0</v>
      </c>
      <c r="C147" s="15">
        <v>100.0</v>
      </c>
      <c r="D147" s="34" t="s">
        <v>31</v>
      </c>
      <c r="E147" s="29">
        <v>9986.0</v>
      </c>
      <c r="F147" s="38">
        <v>21157.42</v>
      </c>
      <c r="G147" s="39">
        <v>31143.42</v>
      </c>
      <c r="H147" s="32">
        <v>48158.880000000005</v>
      </c>
      <c r="I147" s="19">
        <f t="shared" si="6"/>
        <v>43342.992</v>
      </c>
      <c r="J147" s="20" t="s">
        <v>63</v>
      </c>
      <c r="K147" s="21" t="s">
        <v>47</v>
      </c>
    </row>
    <row r="148" ht="22.5" customHeight="1">
      <c r="A148" s="28" t="s">
        <v>147</v>
      </c>
      <c r="B148" s="15">
        <v>60.0</v>
      </c>
      <c r="C148" s="15">
        <v>90.0</v>
      </c>
      <c r="D148" s="34" t="s">
        <v>31</v>
      </c>
      <c r="E148" s="29">
        <v>9350.0</v>
      </c>
      <c r="F148" s="38">
        <v>14456.96</v>
      </c>
      <c r="G148" s="39">
        <v>23806.96</v>
      </c>
      <c r="H148" s="32">
        <v>35739.16500000001</v>
      </c>
      <c r="I148" s="19">
        <f t="shared" si="6"/>
        <v>32165.2485</v>
      </c>
      <c r="J148" s="20" t="s">
        <v>63</v>
      </c>
      <c r="K148" s="21" t="s">
        <v>47</v>
      </c>
    </row>
    <row r="149" ht="22.5" customHeight="1">
      <c r="A149" s="28" t="s">
        <v>148</v>
      </c>
      <c r="B149" s="15">
        <v>40.0</v>
      </c>
      <c r="C149" s="15">
        <v>60.0</v>
      </c>
      <c r="D149" s="34" t="s">
        <v>31</v>
      </c>
      <c r="E149" s="29">
        <v>8192.0</v>
      </c>
      <c r="F149" s="38">
        <v>12319.83</v>
      </c>
      <c r="G149" s="39">
        <v>20511.83</v>
      </c>
      <c r="H149" s="32">
        <v>28091.910000000003</v>
      </c>
      <c r="I149" s="19">
        <f t="shared" si="6"/>
        <v>25282.719</v>
      </c>
      <c r="J149" s="20" t="s">
        <v>63</v>
      </c>
      <c r="K149" s="21" t="s">
        <v>47</v>
      </c>
    </row>
    <row r="150">
      <c r="K150" s="7"/>
    </row>
    <row r="151">
      <c r="A151" s="47"/>
      <c r="D151" s="48"/>
      <c r="E151" s="49"/>
      <c r="F151" s="50"/>
      <c r="G151" s="51"/>
      <c r="H151" s="37"/>
      <c r="K151" s="7"/>
    </row>
    <row r="152">
      <c r="A152" s="47"/>
      <c r="D152" s="48"/>
      <c r="E152" s="49"/>
      <c r="F152" s="50"/>
      <c r="G152" s="51"/>
      <c r="H152" s="37"/>
      <c r="K152" s="7"/>
    </row>
    <row r="153" ht="22.5" customHeight="1">
      <c r="A153" s="8" t="s">
        <v>149</v>
      </c>
      <c r="B153" s="9" t="s">
        <v>60</v>
      </c>
      <c r="C153" s="9" t="s">
        <v>61</v>
      </c>
      <c r="D153" s="10" t="s">
        <v>3</v>
      </c>
      <c r="E153" s="25" t="s">
        <v>4</v>
      </c>
      <c r="F153" s="26" t="s">
        <v>5</v>
      </c>
      <c r="G153" s="27" t="s">
        <v>6</v>
      </c>
      <c r="H153" s="13" t="s">
        <v>7</v>
      </c>
      <c r="I153" s="12" t="s">
        <v>20</v>
      </c>
      <c r="J153" s="13" t="s">
        <v>9</v>
      </c>
      <c r="K153" s="10" t="s">
        <v>10</v>
      </c>
    </row>
    <row r="154" ht="22.5" customHeight="1">
      <c r="A154" s="52" t="s">
        <v>150</v>
      </c>
      <c r="B154" s="15">
        <v>140.0</v>
      </c>
      <c r="C154" s="53">
        <v>250.0</v>
      </c>
      <c r="D154" s="15" t="s">
        <v>22</v>
      </c>
      <c r="E154" s="29">
        <v>27140.0</v>
      </c>
      <c r="F154" s="30">
        <v>32616.3</v>
      </c>
      <c r="G154" s="31">
        <v>59756.3</v>
      </c>
      <c r="H154" s="43">
        <v>89166.0</v>
      </c>
      <c r="I154" s="19">
        <f t="shared" ref="I154:I178" si="7">H154*0.9</f>
        <v>80249.4</v>
      </c>
      <c r="J154" s="20" t="s">
        <v>63</v>
      </c>
      <c r="K154" s="21" t="s">
        <v>47</v>
      </c>
    </row>
    <row r="155" ht="22.5" customHeight="1">
      <c r="A155" s="52" t="s">
        <v>151</v>
      </c>
      <c r="B155" s="15">
        <v>90.0</v>
      </c>
      <c r="C155" s="54">
        <v>260.0</v>
      </c>
      <c r="D155" s="15" t="s">
        <v>22</v>
      </c>
      <c r="E155" s="29">
        <v>22660.0</v>
      </c>
      <c r="F155" s="30">
        <v>29453.35</v>
      </c>
      <c r="G155" s="31">
        <v>52113.35</v>
      </c>
      <c r="H155" s="43">
        <v>77847.0</v>
      </c>
      <c r="I155" s="19">
        <f t="shared" si="7"/>
        <v>70062.3</v>
      </c>
      <c r="J155" s="20" t="s">
        <v>63</v>
      </c>
      <c r="K155" s="21" t="s">
        <v>47</v>
      </c>
    </row>
    <row r="156" ht="22.5" customHeight="1">
      <c r="A156" s="52" t="s">
        <v>152</v>
      </c>
      <c r="B156" s="15">
        <v>120.0</v>
      </c>
      <c r="C156" s="53">
        <v>240.0</v>
      </c>
      <c r="D156" s="15" t="s">
        <v>22</v>
      </c>
      <c r="E156" s="29">
        <v>21880.0</v>
      </c>
      <c r="F156" s="30">
        <v>28743.3</v>
      </c>
      <c r="G156" s="31">
        <v>50623.3</v>
      </c>
      <c r="H156" s="43">
        <v>75306.0</v>
      </c>
      <c r="I156" s="19">
        <f t="shared" si="7"/>
        <v>67775.4</v>
      </c>
      <c r="J156" s="20" t="s">
        <v>63</v>
      </c>
      <c r="K156" s="21" t="s">
        <v>47</v>
      </c>
    </row>
    <row r="157" ht="22.5" customHeight="1">
      <c r="A157" s="52" t="s">
        <v>153</v>
      </c>
      <c r="B157" s="15">
        <v>120.0</v>
      </c>
      <c r="C157" s="54">
        <v>220.0</v>
      </c>
      <c r="D157" s="15" t="s">
        <v>22</v>
      </c>
      <c r="E157" s="29">
        <v>20420.0</v>
      </c>
      <c r="F157" s="30">
        <v>28097.8</v>
      </c>
      <c r="G157" s="31">
        <v>48517.8</v>
      </c>
      <c r="H157" s="43">
        <v>72996.0</v>
      </c>
      <c r="I157" s="19">
        <f t="shared" si="7"/>
        <v>65696.4</v>
      </c>
      <c r="J157" s="20" t="s">
        <v>63</v>
      </c>
      <c r="K157" s="21" t="s">
        <v>47</v>
      </c>
    </row>
    <row r="158" ht="22.5" customHeight="1">
      <c r="A158" s="52" t="s">
        <v>154</v>
      </c>
      <c r="B158" s="15">
        <v>80.0</v>
      </c>
      <c r="C158" s="53">
        <v>220.0</v>
      </c>
      <c r="D158" s="15" t="s">
        <v>22</v>
      </c>
      <c r="E158" s="29">
        <v>20352.0</v>
      </c>
      <c r="F158" s="30">
        <v>27678.23</v>
      </c>
      <c r="G158" s="31">
        <v>48030.23</v>
      </c>
      <c r="H158" s="43">
        <v>71494.5</v>
      </c>
      <c r="I158" s="19">
        <f t="shared" si="7"/>
        <v>64345.05</v>
      </c>
      <c r="J158" s="20" t="s">
        <v>63</v>
      </c>
      <c r="K158" s="21" t="s">
        <v>47</v>
      </c>
    </row>
    <row r="159" ht="22.5" customHeight="1">
      <c r="A159" s="52" t="s">
        <v>155</v>
      </c>
      <c r="B159" s="15">
        <v>110.0</v>
      </c>
      <c r="C159" s="54">
        <v>200.0</v>
      </c>
      <c r="D159" s="15" t="s">
        <v>22</v>
      </c>
      <c r="E159" s="29">
        <v>19300.0</v>
      </c>
      <c r="F159" s="30">
        <v>26935.9</v>
      </c>
      <c r="G159" s="31">
        <v>46235.9</v>
      </c>
      <c r="H159" s="43">
        <v>68838.0</v>
      </c>
      <c r="I159" s="19">
        <f t="shared" si="7"/>
        <v>61954.2</v>
      </c>
      <c r="J159" s="20" t="s">
        <v>63</v>
      </c>
      <c r="K159" s="21" t="s">
        <v>47</v>
      </c>
    </row>
    <row r="160" ht="22.5" customHeight="1">
      <c r="A160" s="55" t="s">
        <v>156</v>
      </c>
      <c r="B160" s="15">
        <v>100.0</v>
      </c>
      <c r="C160" s="53">
        <v>200.0</v>
      </c>
      <c r="D160" s="15" t="s">
        <v>22</v>
      </c>
      <c r="E160" s="16">
        <v>18960.0</v>
      </c>
      <c r="F160" s="17">
        <v>26484.05</v>
      </c>
      <c r="G160" s="18">
        <v>45444.05</v>
      </c>
      <c r="H160" s="56">
        <v>67221.00000000001</v>
      </c>
      <c r="I160" s="19">
        <f t="shared" si="7"/>
        <v>60498.9</v>
      </c>
      <c r="J160" s="20" t="s">
        <v>63</v>
      </c>
      <c r="K160" s="21" t="s">
        <v>47</v>
      </c>
    </row>
    <row r="161" ht="22.5" customHeight="1">
      <c r="A161" s="52" t="s">
        <v>157</v>
      </c>
      <c r="B161" s="15">
        <v>90.0</v>
      </c>
      <c r="C161" s="54">
        <v>190.0</v>
      </c>
      <c r="D161" s="15" t="s">
        <v>22</v>
      </c>
      <c r="E161" s="29">
        <v>18570.0</v>
      </c>
      <c r="F161" s="30">
        <v>26387.23</v>
      </c>
      <c r="G161" s="31">
        <v>44957.23</v>
      </c>
      <c r="H161" s="43">
        <v>66874.50000000001</v>
      </c>
      <c r="I161" s="19">
        <f t="shared" si="7"/>
        <v>60187.05</v>
      </c>
      <c r="J161" s="20" t="s">
        <v>63</v>
      </c>
      <c r="K161" s="21" t="s">
        <v>47</v>
      </c>
    </row>
    <row r="162" ht="22.5" customHeight="1">
      <c r="A162" s="52" t="s">
        <v>158</v>
      </c>
      <c r="B162" s="15">
        <v>100.0</v>
      </c>
      <c r="C162" s="53">
        <v>180.0</v>
      </c>
      <c r="D162" s="15" t="s">
        <v>22</v>
      </c>
      <c r="E162" s="29">
        <v>17840.0</v>
      </c>
      <c r="F162" s="30">
        <v>26290.4</v>
      </c>
      <c r="G162" s="31">
        <v>44130.4</v>
      </c>
      <c r="H162" s="43">
        <v>66528.00000000001</v>
      </c>
      <c r="I162" s="19">
        <f t="shared" si="7"/>
        <v>59875.2</v>
      </c>
      <c r="J162" s="20" t="s">
        <v>63</v>
      </c>
      <c r="K162" s="21" t="s">
        <v>47</v>
      </c>
    </row>
    <row r="163" ht="22.5" customHeight="1">
      <c r="A163" s="55" t="s">
        <v>159</v>
      </c>
      <c r="B163" s="15">
        <v>90.0</v>
      </c>
      <c r="C163" s="54">
        <v>180.0</v>
      </c>
      <c r="D163" s="15" t="s">
        <v>22</v>
      </c>
      <c r="E163" s="16">
        <v>17670.0</v>
      </c>
      <c r="F163" s="17">
        <v>26096.75</v>
      </c>
      <c r="G163" s="18">
        <v>43766.75</v>
      </c>
      <c r="H163" s="56">
        <v>65835.00000000001</v>
      </c>
      <c r="I163" s="19">
        <f t="shared" si="7"/>
        <v>59251.5</v>
      </c>
      <c r="J163" s="20" t="s">
        <v>63</v>
      </c>
      <c r="K163" s="21" t="s">
        <v>47</v>
      </c>
    </row>
    <row r="164" ht="22.5" customHeight="1">
      <c r="A164" s="52" t="s">
        <v>160</v>
      </c>
      <c r="B164" s="15">
        <v>80.0</v>
      </c>
      <c r="C164" s="53">
        <v>180.0</v>
      </c>
      <c r="D164" s="15" t="s">
        <v>22</v>
      </c>
      <c r="E164" s="29">
        <v>17500.0</v>
      </c>
      <c r="F164" s="30">
        <v>25774.0</v>
      </c>
      <c r="G164" s="31">
        <v>43274.0</v>
      </c>
      <c r="H164" s="43">
        <v>64680.00000000001</v>
      </c>
      <c r="I164" s="19">
        <f t="shared" si="7"/>
        <v>58212</v>
      </c>
      <c r="J164" s="20" t="s">
        <v>63</v>
      </c>
      <c r="K164" s="21" t="s">
        <v>47</v>
      </c>
    </row>
    <row r="165" ht="22.5" customHeight="1">
      <c r="A165" s="52" t="s">
        <v>161</v>
      </c>
      <c r="B165" s="15">
        <v>90.0</v>
      </c>
      <c r="C165" s="54">
        <v>170.0</v>
      </c>
      <c r="D165" s="15" t="s">
        <v>22</v>
      </c>
      <c r="E165" s="29">
        <v>17280.0</v>
      </c>
      <c r="F165" s="30">
        <v>25903.1</v>
      </c>
      <c r="G165" s="31">
        <v>43183.1</v>
      </c>
      <c r="H165" s="43">
        <v>65142.00000000001</v>
      </c>
      <c r="I165" s="19">
        <f t="shared" si="7"/>
        <v>58627.8</v>
      </c>
      <c r="J165" s="20" t="s">
        <v>63</v>
      </c>
      <c r="K165" s="21" t="s">
        <v>47</v>
      </c>
    </row>
    <row r="166" ht="22.5" customHeight="1">
      <c r="A166" s="52" t="s">
        <v>162</v>
      </c>
      <c r="B166" s="15">
        <v>90.0</v>
      </c>
      <c r="C166" s="53">
        <v>160.0</v>
      </c>
      <c r="D166" s="15" t="s">
        <v>22</v>
      </c>
      <c r="E166" s="29">
        <v>16380.0</v>
      </c>
      <c r="F166" s="30">
        <v>26096.75</v>
      </c>
      <c r="G166" s="31">
        <v>42476.75</v>
      </c>
      <c r="H166" s="43">
        <v>65835.00000000001</v>
      </c>
      <c r="I166" s="19">
        <f t="shared" si="7"/>
        <v>59251.5</v>
      </c>
      <c r="J166" s="20" t="s">
        <v>63</v>
      </c>
      <c r="K166" s="21" t="s">
        <v>47</v>
      </c>
    </row>
    <row r="167" ht="22.5" customHeight="1">
      <c r="A167" s="55" t="s">
        <v>163</v>
      </c>
      <c r="B167" s="15">
        <v>80.0</v>
      </c>
      <c r="C167" s="54">
        <v>160.0</v>
      </c>
      <c r="D167" s="15" t="s">
        <v>22</v>
      </c>
      <c r="E167" s="16">
        <v>16380.0</v>
      </c>
      <c r="F167" s="17">
        <v>25289.88</v>
      </c>
      <c r="G167" s="18">
        <v>41669.88</v>
      </c>
      <c r="H167" s="56">
        <v>62947.50000000001</v>
      </c>
      <c r="I167" s="19">
        <f t="shared" si="7"/>
        <v>56652.75</v>
      </c>
      <c r="J167" s="20" t="s">
        <v>63</v>
      </c>
      <c r="K167" s="21" t="s">
        <v>47</v>
      </c>
    </row>
    <row r="168" ht="22.5" customHeight="1">
      <c r="A168" s="52" t="s">
        <v>164</v>
      </c>
      <c r="B168" s="15">
        <v>90.0</v>
      </c>
      <c r="C168" s="53">
        <v>150.0</v>
      </c>
      <c r="D168" s="15" t="s">
        <v>22</v>
      </c>
      <c r="E168" s="29">
        <v>15480.0</v>
      </c>
      <c r="F168" s="30">
        <v>24934.85</v>
      </c>
      <c r="G168" s="31">
        <v>40414.85</v>
      </c>
      <c r="H168" s="43">
        <v>61677.00000000001</v>
      </c>
      <c r="I168" s="19">
        <f t="shared" si="7"/>
        <v>55509.3</v>
      </c>
      <c r="J168" s="20" t="s">
        <v>63</v>
      </c>
      <c r="K168" s="21" t="s">
        <v>47</v>
      </c>
    </row>
    <row r="169" ht="22.5" customHeight="1">
      <c r="A169" s="52" t="s">
        <v>165</v>
      </c>
      <c r="B169" s="15">
        <v>80.0</v>
      </c>
      <c r="C169" s="54">
        <v>150.0</v>
      </c>
      <c r="D169" s="15" t="s">
        <v>22</v>
      </c>
      <c r="E169" s="29">
        <v>15480.0</v>
      </c>
      <c r="F169" s="30">
        <v>24547.55</v>
      </c>
      <c r="G169" s="31">
        <v>40027.55</v>
      </c>
      <c r="H169" s="43">
        <v>60291.00000000001</v>
      </c>
      <c r="I169" s="19">
        <f t="shared" si="7"/>
        <v>54261.9</v>
      </c>
      <c r="J169" s="20" t="s">
        <v>63</v>
      </c>
      <c r="K169" s="21" t="s">
        <v>47</v>
      </c>
    </row>
    <row r="170" ht="22.5" customHeight="1">
      <c r="A170" s="52" t="s">
        <v>166</v>
      </c>
      <c r="B170" s="15">
        <v>90.0</v>
      </c>
      <c r="C170" s="53">
        <v>140.0</v>
      </c>
      <c r="D170" s="15" t="s">
        <v>22</v>
      </c>
      <c r="E170" s="29">
        <v>15090.0</v>
      </c>
      <c r="F170" s="30">
        <v>24466.86</v>
      </c>
      <c r="G170" s="31">
        <v>39556.86</v>
      </c>
      <c r="H170" s="43">
        <v>60002.25000000001</v>
      </c>
      <c r="I170" s="19">
        <f t="shared" si="7"/>
        <v>54002.025</v>
      </c>
      <c r="J170" s="20" t="s">
        <v>63</v>
      </c>
      <c r="K170" s="21" t="s">
        <v>47</v>
      </c>
    </row>
    <row r="171" ht="22.5" customHeight="1">
      <c r="A171" s="52" t="s">
        <v>167</v>
      </c>
      <c r="B171" s="15">
        <v>85.0</v>
      </c>
      <c r="C171" s="54">
        <v>140.0</v>
      </c>
      <c r="D171" s="15" t="s">
        <v>22</v>
      </c>
      <c r="E171" s="29">
        <v>15090.0</v>
      </c>
      <c r="F171" s="30">
        <v>24353.9</v>
      </c>
      <c r="G171" s="31">
        <v>39443.9</v>
      </c>
      <c r="H171" s="43">
        <v>59598.00000000001</v>
      </c>
      <c r="I171" s="19">
        <f t="shared" si="7"/>
        <v>53638.2</v>
      </c>
      <c r="J171" s="20" t="s">
        <v>63</v>
      </c>
      <c r="K171" s="21" t="s">
        <v>47</v>
      </c>
    </row>
    <row r="172" ht="22.5" customHeight="1">
      <c r="A172" s="55" t="s">
        <v>168</v>
      </c>
      <c r="B172" s="15">
        <v>80.0</v>
      </c>
      <c r="C172" s="53">
        <v>140.0</v>
      </c>
      <c r="D172" s="15" t="s">
        <v>22</v>
      </c>
      <c r="E172" s="16">
        <v>14920.0</v>
      </c>
      <c r="F172" s="17">
        <v>24127.98</v>
      </c>
      <c r="G172" s="18">
        <v>39047.98</v>
      </c>
      <c r="H172" s="56">
        <v>58789.50000000001</v>
      </c>
      <c r="I172" s="19">
        <f t="shared" si="7"/>
        <v>52910.55</v>
      </c>
      <c r="J172" s="20" t="s">
        <v>63</v>
      </c>
      <c r="K172" s="21" t="s">
        <v>47</v>
      </c>
    </row>
    <row r="173" ht="22.5" customHeight="1">
      <c r="A173" s="52" t="s">
        <v>169</v>
      </c>
      <c r="B173" s="15">
        <v>70.0</v>
      </c>
      <c r="C173" s="54">
        <v>140.0</v>
      </c>
      <c r="D173" s="15" t="s">
        <v>22</v>
      </c>
      <c r="E173" s="29">
        <v>14750.0</v>
      </c>
      <c r="F173" s="30">
        <v>23708.4</v>
      </c>
      <c r="G173" s="31">
        <v>38458.4</v>
      </c>
      <c r="H173" s="43">
        <v>57288.00000000001</v>
      </c>
      <c r="I173" s="19">
        <f t="shared" si="7"/>
        <v>51559.2</v>
      </c>
      <c r="J173" s="20" t="s">
        <v>63</v>
      </c>
      <c r="K173" s="21" t="s">
        <v>47</v>
      </c>
    </row>
    <row r="174" ht="22.5" customHeight="1">
      <c r="A174" s="52" t="s">
        <v>170</v>
      </c>
      <c r="B174" s="15">
        <v>80.0</v>
      </c>
      <c r="C174" s="53">
        <v>130.0</v>
      </c>
      <c r="D174" s="15" t="s">
        <v>22</v>
      </c>
      <c r="E174" s="29">
        <v>14750.0</v>
      </c>
      <c r="F174" s="30">
        <v>23062.9</v>
      </c>
      <c r="G174" s="31">
        <v>37812.9</v>
      </c>
      <c r="H174" s="43">
        <v>54978.00000000001</v>
      </c>
      <c r="I174" s="19">
        <f t="shared" si="7"/>
        <v>49480.2</v>
      </c>
      <c r="J174" s="20" t="s">
        <v>63</v>
      </c>
      <c r="K174" s="21" t="s">
        <v>47</v>
      </c>
    </row>
    <row r="175" ht="22.5" customHeight="1">
      <c r="A175" s="55" t="s">
        <v>171</v>
      </c>
      <c r="B175" s="15">
        <v>80.0</v>
      </c>
      <c r="C175" s="54">
        <v>120.0</v>
      </c>
      <c r="D175" s="15" t="s">
        <v>22</v>
      </c>
      <c r="E175" s="16">
        <v>11220.0</v>
      </c>
      <c r="F175" s="17">
        <v>22643.33</v>
      </c>
      <c r="G175" s="18">
        <v>33863.33</v>
      </c>
      <c r="H175" s="56">
        <v>53476.50000000001</v>
      </c>
      <c r="I175" s="19">
        <f t="shared" si="7"/>
        <v>48128.85</v>
      </c>
      <c r="J175" s="20" t="s">
        <v>63</v>
      </c>
      <c r="K175" s="21" t="s">
        <v>47</v>
      </c>
    </row>
    <row r="176" ht="22.5" customHeight="1">
      <c r="A176" s="52" t="s">
        <v>172</v>
      </c>
      <c r="B176" s="15">
        <v>70.0</v>
      </c>
      <c r="C176" s="53">
        <v>120.0</v>
      </c>
      <c r="D176" s="15" t="s">
        <v>22</v>
      </c>
      <c r="E176" s="29">
        <v>11220.0</v>
      </c>
      <c r="F176" s="30">
        <v>22320.58</v>
      </c>
      <c r="G176" s="31">
        <v>33540.58</v>
      </c>
      <c r="H176" s="43">
        <v>52321.50000000001</v>
      </c>
      <c r="I176" s="19">
        <f t="shared" si="7"/>
        <v>47089.35</v>
      </c>
      <c r="J176" s="20" t="s">
        <v>63</v>
      </c>
      <c r="K176" s="21" t="s">
        <v>47</v>
      </c>
    </row>
    <row r="177" ht="22.5" customHeight="1">
      <c r="A177" s="52" t="s">
        <v>173</v>
      </c>
      <c r="B177" s="15">
        <v>60.0</v>
      </c>
      <c r="C177" s="54">
        <v>110.0</v>
      </c>
      <c r="D177" s="15" t="s">
        <v>22</v>
      </c>
      <c r="E177" s="29">
        <v>11220.0</v>
      </c>
      <c r="F177" s="30">
        <v>21029.58</v>
      </c>
      <c r="G177" s="31">
        <v>32249.58</v>
      </c>
      <c r="H177" s="43">
        <v>47701.50000000001</v>
      </c>
      <c r="I177" s="19">
        <f t="shared" si="7"/>
        <v>42931.35</v>
      </c>
      <c r="J177" s="20" t="s">
        <v>63</v>
      </c>
      <c r="K177" s="21" t="s">
        <v>47</v>
      </c>
    </row>
    <row r="178" ht="22.5" customHeight="1">
      <c r="A178" s="52" t="s">
        <v>174</v>
      </c>
      <c r="B178" s="15">
        <v>70.0</v>
      </c>
      <c r="C178" s="53">
        <v>100.0</v>
      </c>
      <c r="D178" s="15" t="s">
        <v>22</v>
      </c>
      <c r="E178" s="29">
        <v>11220.0</v>
      </c>
      <c r="F178" s="30">
        <v>21029.58</v>
      </c>
      <c r="G178" s="31">
        <v>32249.58</v>
      </c>
      <c r="H178" s="57">
        <v>47701.50000000001</v>
      </c>
      <c r="I178" s="58">
        <f t="shared" si="7"/>
        <v>42931.35</v>
      </c>
      <c r="J178" s="20" t="s">
        <v>63</v>
      </c>
      <c r="K178" s="21" t="s">
        <v>47</v>
      </c>
    </row>
    <row r="179">
      <c r="A179" s="7"/>
      <c r="D179" s="22"/>
      <c r="E179" s="22"/>
      <c r="F179" s="23"/>
      <c r="G179" s="7"/>
      <c r="H179" s="23"/>
      <c r="K179" s="7"/>
      <c r="L179" s="59"/>
    </row>
    <row r="180">
      <c r="A180" s="7"/>
      <c r="D180" s="22"/>
      <c r="E180" s="22"/>
      <c r="F180" s="23"/>
      <c r="G180" s="7"/>
      <c r="H180" s="23"/>
      <c r="J180" s="36"/>
      <c r="K180" s="7"/>
      <c r="L180" s="59"/>
    </row>
    <row r="181">
      <c r="A181" s="60"/>
      <c r="D181" s="61"/>
      <c r="E181" s="62"/>
      <c r="F181" s="63"/>
      <c r="G181" s="47"/>
      <c r="H181" s="51"/>
      <c r="J181" s="64"/>
      <c r="K181" s="47"/>
      <c r="L181" s="64"/>
    </row>
    <row r="182">
      <c r="A182" s="60"/>
      <c r="D182" s="65"/>
      <c r="E182" s="62"/>
      <c r="F182" s="66"/>
      <c r="G182" s="47"/>
      <c r="H182" s="63"/>
      <c r="J182" s="51"/>
      <c r="K182" s="47"/>
      <c r="L182" s="59"/>
    </row>
    <row r="183">
      <c r="A183" s="60"/>
      <c r="D183" s="65"/>
      <c r="E183" s="62"/>
      <c r="F183" s="66"/>
      <c r="G183" s="47"/>
      <c r="H183" s="63"/>
      <c r="J183" s="51"/>
      <c r="K183" s="47"/>
      <c r="L183" s="59"/>
    </row>
    <row r="184">
      <c r="A184" s="60"/>
      <c r="D184" s="65"/>
      <c r="E184" s="62"/>
      <c r="F184" s="66"/>
      <c r="G184" s="47"/>
      <c r="H184" s="63"/>
      <c r="J184" s="51"/>
      <c r="K184" s="47"/>
      <c r="L184" s="59"/>
    </row>
    <row r="185">
      <c r="A185" s="7"/>
      <c r="D185" s="22"/>
      <c r="E185" s="22"/>
      <c r="F185" s="23"/>
      <c r="G185" s="7"/>
      <c r="H185" s="23"/>
      <c r="J185" s="67"/>
      <c r="K185" s="7"/>
    </row>
    <row r="186" ht="22.5" customHeight="1">
      <c r="A186" s="8" t="s">
        <v>175</v>
      </c>
      <c r="B186" s="9" t="s">
        <v>60</v>
      </c>
      <c r="C186" s="9" t="s">
        <v>61</v>
      </c>
      <c r="D186" s="33" t="s">
        <v>3</v>
      </c>
      <c r="E186" s="25" t="s">
        <v>4</v>
      </c>
      <c r="F186" s="26" t="s">
        <v>5</v>
      </c>
      <c r="G186" s="27" t="s">
        <v>6</v>
      </c>
      <c r="H186" s="13" t="s">
        <v>7</v>
      </c>
      <c r="I186" s="12" t="s">
        <v>20</v>
      </c>
      <c r="J186" s="13" t="s">
        <v>9</v>
      </c>
      <c r="K186" s="10" t="s">
        <v>10</v>
      </c>
    </row>
    <row r="187" ht="22.5" customHeight="1">
      <c r="A187" s="28" t="s">
        <v>176</v>
      </c>
      <c r="B187" s="15">
        <v>70.0</v>
      </c>
      <c r="C187" s="15">
        <v>70.0</v>
      </c>
      <c r="D187" s="34" t="s">
        <v>31</v>
      </c>
      <c r="E187" s="29">
        <v>11292.0</v>
      </c>
      <c r="F187" s="30">
        <v>20885.56</v>
      </c>
      <c r="G187" s="31">
        <v>32177.56</v>
      </c>
      <c r="H187" s="32">
        <v>47186.37</v>
      </c>
      <c r="I187" s="19">
        <f t="shared" ref="I187:I201" si="8">H187*0.9</f>
        <v>42467.733</v>
      </c>
      <c r="J187" s="20" t="s">
        <v>177</v>
      </c>
      <c r="K187" s="21" t="s">
        <v>47</v>
      </c>
    </row>
    <row r="188" ht="22.5" customHeight="1">
      <c r="A188" s="28" t="s">
        <v>178</v>
      </c>
      <c r="B188" s="15">
        <v>85.0</v>
      </c>
      <c r="C188" s="15">
        <v>85.0</v>
      </c>
      <c r="D188" s="35" t="s">
        <v>31</v>
      </c>
      <c r="E188" s="29">
        <v>11292.0</v>
      </c>
      <c r="F188" s="30">
        <v>21157.42</v>
      </c>
      <c r="G188" s="31">
        <v>32449.42</v>
      </c>
      <c r="H188" s="32">
        <v>48158.880000000005</v>
      </c>
      <c r="I188" s="19">
        <f t="shared" si="8"/>
        <v>43342.992</v>
      </c>
      <c r="J188" s="20" t="s">
        <v>177</v>
      </c>
      <c r="K188" s="21" t="s">
        <v>47</v>
      </c>
    </row>
    <row r="189" ht="22.5" customHeight="1">
      <c r="A189" s="28" t="s">
        <v>179</v>
      </c>
      <c r="B189" s="15">
        <v>90.0</v>
      </c>
      <c r="C189" s="15">
        <v>90.0</v>
      </c>
      <c r="D189" s="34" t="s">
        <v>31</v>
      </c>
      <c r="E189" s="29">
        <v>11572.0</v>
      </c>
      <c r="F189" s="30">
        <v>22380.82</v>
      </c>
      <c r="G189" s="31">
        <v>33952.82</v>
      </c>
      <c r="H189" s="32">
        <v>52537.48500000001</v>
      </c>
      <c r="I189" s="19">
        <f t="shared" si="8"/>
        <v>47283.7365</v>
      </c>
      <c r="J189" s="20" t="s">
        <v>177</v>
      </c>
      <c r="K189" s="21" t="s">
        <v>47</v>
      </c>
    </row>
    <row r="190" ht="22.5" customHeight="1">
      <c r="A190" s="28" t="s">
        <v>180</v>
      </c>
      <c r="B190" s="15">
        <v>100.0</v>
      </c>
      <c r="C190" s="15">
        <v>100.0</v>
      </c>
      <c r="D190" s="35" t="s">
        <v>31</v>
      </c>
      <c r="E190" s="29">
        <v>12132.0</v>
      </c>
      <c r="F190" s="30">
        <v>22969.87</v>
      </c>
      <c r="G190" s="31">
        <v>35101.87</v>
      </c>
      <c r="H190" s="32">
        <v>54645.36000000001</v>
      </c>
      <c r="I190" s="19">
        <f t="shared" si="8"/>
        <v>49180.824</v>
      </c>
      <c r="J190" s="20" t="s">
        <v>177</v>
      </c>
      <c r="K190" s="21" t="s">
        <v>47</v>
      </c>
    </row>
    <row r="191" ht="22.5" customHeight="1">
      <c r="A191" s="28" t="s">
        <v>181</v>
      </c>
      <c r="B191" s="15">
        <v>110.0</v>
      </c>
      <c r="C191" s="15">
        <v>110.0</v>
      </c>
      <c r="D191" s="34" t="s">
        <v>31</v>
      </c>
      <c r="E191" s="29">
        <v>12692.0</v>
      </c>
      <c r="F191" s="30">
        <v>23192.11</v>
      </c>
      <c r="G191" s="31">
        <v>35884.11</v>
      </c>
      <c r="H191" s="32">
        <v>55440.00000000001</v>
      </c>
      <c r="I191" s="19">
        <f t="shared" si="8"/>
        <v>49896</v>
      </c>
      <c r="J191" s="20" t="s">
        <v>177</v>
      </c>
      <c r="K191" s="21" t="s">
        <v>47</v>
      </c>
    </row>
    <row r="192" ht="22.5" customHeight="1">
      <c r="A192" s="14" t="s">
        <v>182</v>
      </c>
      <c r="B192" s="15">
        <v>120.0</v>
      </c>
      <c r="C192" s="15">
        <v>120.0</v>
      </c>
      <c r="D192" s="35" t="s">
        <v>31</v>
      </c>
      <c r="E192" s="16">
        <v>13252.0</v>
      </c>
      <c r="F192" s="17">
        <v>23649.54</v>
      </c>
      <c r="G192" s="18">
        <v>36901.54</v>
      </c>
      <c r="H192" s="19">
        <v>57077.79000000001</v>
      </c>
      <c r="I192" s="19">
        <f t="shared" si="8"/>
        <v>51370.011</v>
      </c>
      <c r="J192" s="20" t="s">
        <v>177</v>
      </c>
      <c r="K192" s="21" t="s">
        <v>47</v>
      </c>
    </row>
    <row r="193" ht="22.5" customHeight="1">
      <c r="A193" s="28" t="s">
        <v>183</v>
      </c>
      <c r="B193" s="15">
        <v>125.0</v>
      </c>
      <c r="C193" s="15">
        <v>125.0</v>
      </c>
      <c r="D193" s="34" t="s">
        <v>31</v>
      </c>
      <c r="E193" s="29">
        <v>14252.0</v>
      </c>
      <c r="F193" s="30">
        <v>24329.21</v>
      </c>
      <c r="G193" s="31">
        <v>38581.21</v>
      </c>
      <c r="H193" s="32">
        <v>59509.065</v>
      </c>
      <c r="I193" s="19">
        <f t="shared" si="8"/>
        <v>53558.1585</v>
      </c>
      <c r="J193" s="20" t="s">
        <v>177</v>
      </c>
      <c r="K193" s="21" t="s">
        <v>47</v>
      </c>
    </row>
    <row r="194" ht="22.5" customHeight="1">
      <c r="A194" s="14" t="s">
        <v>184</v>
      </c>
      <c r="B194" s="15">
        <v>130.0</v>
      </c>
      <c r="C194" s="15">
        <v>130.0</v>
      </c>
      <c r="D194" s="35" t="s">
        <v>31</v>
      </c>
      <c r="E194" s="16">
        <v>16644.0</v>
      </c>
      <c r="F194" s="17">
        <v>24555.76</v>
      </c>
      <c r="G194" s="18">
        <v>41199.76</v>
      </c>
      <c r="H194" s="19">
        <v>60319.87500000001</v>
      </c>
      <c r="I194" s="19">
        <f t="shared" si="8"/>
        <v>54287.8875</v>
      </c>
      <c r="J194" s="20" t="s">
        <v>177</v>
      </c>
      <c r="K194" s="21" t="s">
        <v>47</v>
      </c>
    </row>
    <row r="195" ht="22.5" customHeight="1">
      <c r="A195" s="14" t="s">
        <v>185</v>
      </c>
      <c r="B195" s="15">
        <v>140.0</v>
      </c>
      <c r="C195" s="15">
        <v>140.0</v>
      </c>
      <c r="D195" s="34" t="s">
        <v>31</v>
      </c>
      <c r="E195" s="16">
        <v>16564.0</v>
      </c>
      <c r="F195" s="17">
        <v>23212.77</v>
      </c>
      <c r="G195" s="18">
        <v>39776.77</v>
      </c>
      <c r="H195" s="19">
        <v>62752.30500000001</v>
      </c>
      <c r="I195" s="19">
        <f t="shared" si="8"/>
        <v>56477.0745</v>
      </c>
      <c r="J195" s="20" t="s">
        <v>177</v>
      </c>
      <c r="K195" s="21" t="s">
        <v>47</v>
      </c>
    </row>
    <row r="196" ht="22.5" customHeight="1">
      <c r="A196" s="28" t="s">
        <v>186</v>
      </c>
      <c r="B196" s="15">
        <v>145.0</v>
      </c>
      <c r="C196" s="15">
        <v>145.0</v>
      </c>
      <c r="D196" s="35" t="s">
        <v>31</v>
      </c>
      <c r="E196" s="29">
        <v>17764.0</v>
      </c>
      <c r="F196" s="30">
        <v>25779.16</v>
      </c>
      <c r="G196" s="31">
        <v>43543.16</v>
      </c>
      <c r="H196" s="32">
        <v>64698.48000000001</v>
      </c>
      <c r="I196" s="19">
        <f t="shared" si="8"/>
        <v>58228.632</v>
      </c>
      <c r="J196" s="20" t="s">
        <v>177</v>
      </c>
      <c r="K196" s="21" t="s">
        <v>47</v>
      </c>
    </row>
    <row r="197" ht="22.5" customHeight="1">
      <c r="A197" s="14" t="s">
        <v>187</v>
      </c>
      <c r="B197" s="15">
        <v>150.0</v>
      </c>
      <c r="C197" s="15">
        <v>150.0</v>
      </c>
      <c r="D197" s="34" t="s">
        <v>31</v>
      </c>
      <c r="E197" s="16">
        <v>18960.0</v>
      </c>
      <c r="F197" s="17">
        <v>27229.12</v>
      </c>
      <c r="G197" s="18">
        <v>46189.12</v>
      </c>
      <c r="H197" s="19">
        <v>69887.89500000002</v>
      </c>
      <c r="I197" s="19">
        <f t="shared" si="8"/>
        <v>62899.1055</v>
      </c>
      <c r="J197" s="20" t="s">
        <v>177</v>
      </c>
      <c r="K197" s="21" t="s">
        <v>47</v>
      </c>
    </row>
    <row r="198" ht="22.5" customHeight="1">
      <c r="A198" s="28" t="s">
        <v>188</v>
      </c>
      <c r="B198" s="15">
        <v>160.0</v>
      </c>
      <c r="C198" s="15">
        <v>160.0</v>
      </c>
      <c r="D198" s="35" t="s">
        <v>31</v>
      </c>
      <c r="E198" s="29">
        <v>19748.0</v>
      </c>
      <c r="F198" s="30">
        <v>28497.83</v>
      </c>
      <c r="G198" s="31">
        <v>48245.83</v>
      </c>
      <c r="H198" s="32">
        <v>74427.04500000001</v>
      </c>
      <c r="I198" s="19">
        <f t="shared" si="8"/>
        <v>66984.3405</v>
      </c>
      <c r="J198" s="20" t="s">
        <v>177</v>
      </c>
      <c r="K198" s="21" t="s">
        <v>47</v>
      </c>
    </row>
    <row r="199" ht="22.5" customHeight="1">
      <c r="A199" s="28" t="s">
        <v>189</v>
      </c>
      <c r="B199" s="15">
        <v>170.0</v>
      </c>
      <c r="C199" s="15">
        <v>170.0</v>
      </c>
      <c r="D199" s="34" t="s">
        <v>31</v>
      </c>
      <c r="E199" s="29">
        <v>19748.0</v>
      </c>
      <c r="F199" s="30">
        <v>29947.79</v>
      </c>
      <c r="G199" s="31">
        <v>49695.79</v>
      </c>
      <c r="H199" s="32">
        <v>79616.46000000002</v>
      </c>
      <c r="I199" s="19">
        <f t="shared" si="8"/>
        <v>71654.814</v>
      </c>
      <c r="J199" s="20" t="s">
        <v>177</v>
      </c>
      <c r="K199" s="21" t="s">
        <v>47</v>
      </c>
    </row>
    <row r="200" ht="22.5" customHeight="1">
      <c r="A200" s="28" t="s">
        <v>190</v>
      </c>
      <c r="B200" s="15">
        <v>180.0</v>
      </c>
      <c r="C200" s="15">
        <v>180.0</v>
      </c>
      <c r="D200" s="34" t="s">
        <v>31</v>
      </c>
      <c r="E200" s="29">
        <v>23725.0</v>
      </c>
      <c r="F200" s="30">
        <v>34496.28</v>
      </c>
      <c r="G200" s="31">
        <v>58221.28</v>
      </c>
      <c r="H200" s="32">
        <v>95893.87500000001</v>
      </c>
      <c r="I200" s="19">
        <f t="shared" si="8"/>
        <v>86304.4875</v>
      </c>
      <c r="J200" s="20" t="s">
        <v>177</v>
      </c>
      <c r="K200" s="21" t="s">
        <v>47</v>
      </c>
    </row>
    <row r="201" ht="22.5" customHeight="1">
      <c r="A201" s="28" t="s">
        <v>191</v>
      </c>
      <c r="B201" s="15">
        <v>200.0</v>
      </c>
      <c r="C201" s="15">
        <v>200.0</v>
      </c>
      <c r="D201" s="34" t="s">
        <v>31</v>
      </c>
      <c r="E201" s="29">
        <v>31660.0</v>
      </c>
      <c r="F201" s="30">
        <v>35509.11</v>
      </c>
      <c r="G201" s="31">
        <v>67169.11</v>
      </c>
      <c r="H201" s="32">
        <v>99518.26500000001</v>
      </c>
      <c r="I201" s="19">
        <f t="shared" si="8"/>
        <v>89566.4385</v>
      </c>
      <c r="J201" s="20" t="s">
        <v>177</v>
      </c>
      <c r="K201" s="21" t="s">
        <v>47</v>
      </c>
    </row>
    <row r="202">
      <c r="A202" s="7"/>
      <c r="D202" s="22"/>
      <c r="E202" s="23"/>
      <c r="F202" s="23"/>
      <c r="G202" s="36"/>
      <c r="H202" s="37"/>
      <c r="K202" s="7"/>
    </row>
    <row r="203">
      <c r="A203" s="7"/>
      <c r="D203" s="22"/>
      <c r="E203" s="23"/>
      <c r="F203" s="23"/>
      <c r="G203" s="68"/>
      <c r="H203" s="37"/>
      <c r="K203" s="7"/>
    </row>
    <row r="204" ht="22.5" customHeight="1">
      <c r="A204" s="8" t="s">
        <v>192</v>
      </c>
      <c r="B204" s="9" t="s">
        <v>60</v>
      </c>
      <c r="C204" s="9" t="s">
        <v>61</v>
      </c>
      <c r="D204" s="10" t="s">
        <v>3</v>
      </c>
      <c r="E204" s="25" t="s">
        <v>4</v>
      </c>
      <c r="F204" s="26" t="s">
        <v>5</v>
      </c>
      <c r="G204" s="27" t="s">
        <v>6</v>
      </c>
      <c r="H204" s="13" t="s">
        <v>7</v>
      </c>
      <c r="I204" s="12" t="s">
        <v>20</v>
      </c>
      <c r="J204" s="13" t="s">
        <v>9</v>
      </c>
      <c r="K204" s="10" t="s">
        <v>10</v>
      </c>
    </row>
    <row r="205" ht="22.5" customHeight="1">
      <c r="A205" s="28" t="s">
        <v>193</v>
      </c>
      <c r="B205" s="15">
        <v>70.0</v>
      </c>
      <c r="C205" s="15">
        <v>70.0</v>
      </c>
      <c r="D205" s="15" t="s">
        <v>22</v>
      </c>
      <c r="E205" s="29">
        <v>10592.0</v>
      </c>
      <c r="F205" s="30">
        <v>21675.08</v>
      </c>
      <c r="G205" s="31">
        <v>32267.08</v>
      </c>
      <c r="H205" s="32">
        <v>50011.50000000001</v>
      </c>
      <c r="I205" s="19">
        <f t="shared" ref="I205:I214" si="9">H205*0.9</f>
        <v>45010.35</v>
      </c>
      <c r="J205" s="20" t="s">
        <v>177</v>
      </c>
      <c r="K205" s="21" t="s">
        <v>47</v>
      </c>
    </row>
    <row r="206" ht="22.5" customHeight="1">
      <c r="A206" s="28" t="s">
        <v>194</v>
      </c>
      <c r="B206" s="15">
        <v>80.0</v>
      </c>
      <c r="C206" s="15">
        <v>80.0</v>
      </c>
      <c r="D206" s="15" t="s">
        <v>22</v>
      </c>
      <c r="E206" s="29">
        <v>11288.0</v>
      </c>
      <c r="F206" s="30">
        <v>21933.28</v>
      </c>
      <c r="G206" s="31">
        <v>33221.28</v>
      </c>
      <c r="H206" s="32">
        <v>50935.50000000001</v>
      </c>
      <c r="I206" s="19">
        <f t="shared" si="9"/>
        <v>45841.95</v>
      </c>
      <c r="J206" s="20" t="s">
        <v>177</v>
      </c>
      <c r="K206" s="21" t="s">
        <v>47</v>
      </c>
    </row>
    <row r="207" ht="22.5" customHeight="1">
      <c r="A207" s="28" t="s">
        <v>195</v>
      </c>
      <c r="B207" s="15">
        <v>90.0</v>
      </c>
      <c r="C207" s="15">
        <v>90.0</v>
      </c>
      <c r="D207" s="15" t="s">
        <v>22</v>
      </c>
      <c r="E207" s="29">
        <v>11984.0</v>
      </c>
      <c r="F207" s="30">
        <v>23159.73</v>
      </c>
      <c r="G207" s="31">
        <v>35143.73</v>
      </c>
      <c r="H207" s="32">
        <v>55324.50000000001</v>
      </c>
      <c r="I207" s="19">
        <f t="shared" si="9"/>
        <v>49792.05</v>
      </c>
      <c r="J207" s="20" t="s">
        <v>177</v>
      </c>
      <c r="K207" s="21" t="s">
        <v>47</v>
      </c>
    </row>
    <row r="208" ht="22.5" customHeight="1">
      <c r="A208" s="28" t="s">
        <v>196</v>
      </c>
      <c r="B208" s="15">
        <v>100.0</v>
      </c>
      <c r="C208" s="15">
        <v>100.0</v>
      </c>
      <c r="D208" s="15" t="s">
        <v>22</v>
      </c>
      <c r="E208" s="29">
        <v>12680.0</v>
      </c>
      <c r="F208" s="30">
        <v>23772.95</v>
      </c>
      <c r="G208" s="31">
        <v>36452.95</v>
      </c>
      <c r="H208" s="32">
        <v>57519.00000000001</v>
      </c>
      <c r="I208" s="19">
        <f t="shared" si="9"/>
        <v>51767.1</v>
      </c>
      <c r="J208" s="20" t="s">
        <v>177</v>
      </c>
      <c r="K208" s="21" t="s">
        <v>47</v>
      </c>
    </row>
    <row r="209" ht="22.5" customHeight="1">
      <c r="A209" s="28" t="s">
        <v>197</v>
      </c>
      <c r="B209" s="15">
        <v>110.0</v>
      </c>
      <c r="C209" s="15">
        <v>110.0</v>
      </c>
      <c r="D209" s="15" t="s">
        <v>22</v>
      </c>
      <c r="E209" s="29">
        <v>13376.0</v>
      </c>
      <c r="F209" s="30">
        <v>23998.88</v>
      </c>
      <c r="G209" s="31">
        <v>37374.88</v>
      </c>
      <c r="H209" s="32">
        <v>58327.50000000001</v>
      </c>
      <c r="I209" s="19">
        <f t="shared" si="9"/>
        <v>52494.75</v>
      </c>
      <c r="J209" s="20" t="s">
        <v>177</v>
      </c>
      <c r="K209" s="21" t="s">
        <v>47</v>
      </c>
    </row>
    <row r="210" ht="22.5" customHeight="1">
      <c r="A210" s="55" t="s">
        <v>198</v>
      </c>
      <c r="B210" s="15">
        <v>120.0</v>
      </c>
      <c r="C210" s="15">
        <v>120.0</v>
      </c>
      <c r="D210" s="15" t="s">
        <v>22</v>
      </c>
      <c r="E210" s="16">
        <v>14072.0</v>
      </c>
      <c r="F210" s="17">
        <v>24257.08</v>
      </c>
      <c r="G210" s="18">
        <v>38329.08</v>
      </c>
      <c r="H210" s="56">
        <v>59251.50000000001</v>
      </c>
      <c r="I210" s="19">
        <f t="shared" si="9"/>
        <v>53326.35</v>
      </c>
      <c r="J210" s="20" t="s">
        <v>177</v>
      </c>
      <c r="K210" s="21" t="s">
        <v>47</v>
      </c>
    </row>
    <row r="211" ht="22.5" customHeight="1">
      <c r="A211" s="14" t="s">
        <v>199</v>
      </c>
      <c r="B211" s="15">
        <v>130.0</v>
      </c>
      <c r="C211" s="15">
        <v>130.0</v>
      </c>
      <c r="D211" s="15" t="s">
        <v>22</v>
      </c>
      <c r="E211" s="16">
        <v>17448.0</v>
      </c>
      <c r="F211" s="17">
        <v>25903.1</v>
      </c>
      <c r="G211" s="18">
        <v>43351.1</v>
      </c>
      <c r="H211" s="19">
        <v>65142.00000000001</v>
      </c>
      <c r="I211" s="19">
        <f t="shared" si="9"/>
        <v>58627.8</v>
      </c>
      <c r="J211" s="20" t="s">
        <v>177</v>
      </c>
      <c r="K211" s="21" t="s">
        <v>47</v>
      </c>
    </row>
    <row r="212" ht="22.5" customHeight="1">
      <c r="A212" s="55" t="s">
        <v>200</v>
      </c>
      <c r="B212" s="15">
        <v>140.0</v>
      </c>
      <c r="C212" s="15">
        <v>140.0</v>
      </c>
      <c r="D212" s="15" t="s">
        <v>22</v>
      </c>
      <c r="E212" s="16">
        <v>18704.0</v>
      </c>
      <c r="F212" s="17">
        <v>26387.23</v>
      </c>
      <c r="G212" s="18">
        <v>45091.23</v>
      </c>
      <c r="H212" s="56">
        <v>66874.50000000001</v>
      </c>
      <c r="I212" s="19">
        <f t="shared" si="9"/>
        <v>60187.05</v>
      </c>
      <c r="J212" s="20" t="s">
        <v>177</v>
      </c>
      <c r="K212" s="21" t="s">
        <v>47</v>
      </c>
    </row>
    <row r="213" ht="22.5" customHeight="1">
      <c r="A213" s="55" t="s">
        <v>201</v>
      </c>
      <c r="B213" s="15">
        <v>150.0</v>
      </c>
      <c r="C213" s="15">
        <v>150.0</v>
      </c>
      <c r="D213" s="15" t="s">
        <v>22</v>
      </c>
      <c r="E213" s="16">
        <v>19960.0</v>
      </c>
      <c r="F213" s="17">
        <v>27226.38</v>
      </c>
      <c r="G213" s="18">
        <v>47186.38</v>
      </c>
      <c r="H213" s="56">
        <v>69877.5</v>
      </c>
      <c r="I213" s="19">
        <f t="shared" si="9"/>
        <v>62889.75</v>
      </c>
      <c r="J213" s="20" t="s">
        <v>177</v>
      </c>
      <c r="K213" s="21" t="s">
        <v>47</v>
      </c>
    </row>
    <row r="214" ht="22.5" customHeight="1">
      <c r="A214" s="55" t="s">
        <v>202</v>
      </c>
      <c r="B214" s="15">
        <v>170.0</v>
      </c>
      <c r="C214" s="15">
        <v>170.0</v>
      </c>
      <c r="D214" s="15" t="s">
        <v>22</v>
      </c>
      <c r="E214" s="16">
        <v>24780.0</v>
      </c>
      <c r="F214" s="17">
        <v>31067.1</v>
      </c>
      <c r="G214" s="18">
        <v>55847.1</v>
      </c>
      <c r="H214" s="56">
        <v>83622.0</v>
      </c>
      <c r="I214" s="19">
        <f t="shared" si="9"/>
        <v>75259.8</v>
      </c>
      <c r="J214" s="20" t="s">
        <v>177</v>
      </c>
      <c r="K214" s="21" t="s">
        <v>47</v>
      </c>
    </row>
    <row r="215">
      <c r="A215" s="7"/>
      <c r="D215" s="22"/>
      <c r="E215" s="23"/>
      <c r="F215" s="23"/>
      <c r="G215" s="68"/>
      <c r="H215" s="37"/>
      <c r="K215" s="7"/>
    </row>
    <row r="216" ht="22.5" customHeight="1">
      <c r="A216" s="8" t="s">
        <v>203</v>
      </c>
      <c r="B216" s="9" t="s">
        <v>60</v>
      </c>
      <c r="C216" s="9" t="s">
        <v>61</v>
      </c>
      <c r="D216" s="10" t="s">
        <v>3</v>
      </c>
      <c r="E216" s="25" t="s">
        <v>4</v>
      </c>
      <c r="F216" s="26" t="s">
        <v>5</v>
      </c>
      <c r="G216" s="27" t="s">
        <v>6</v>
      </c>
      <c r="H216" s="13" t="s">
        <v>7</v>
      </c>
      <c r="I216" s="12" t="s">
        <v>20</v>
      </c>
      <c r="J216" s="13" t="s">
        <v>9</v>
      </c>
      <c r="K216" s="10" t="s">
        <v>10</v>
      </c>
    </row>
    <row r="217" ht="22.5" customHeight="1">
      <c r="A217" s="69" t="s">
        <v>204</v>
      </c>
      <c r="B217" s="15">
        <v>120.0</v>
      </c>
      <c r="C217" s="15">
        <v>160.0</v>
      </c>
      <c r="D217" s="15" t="s">
        <v>12</v>
      </c>
      <c r="E217" s="29">
        <v>14400.0</v>
      </c>
      <c r="F217" s="30">
        <v>24894.83</v>
      </c>
      <c r="G217" s="31">
        <v>39294.83</v>
      </c>
      <c r="H217" s="70">
        <v>59833.62</v>
      </c>
      <c r="I217" s="19">
        <f t="shared" ref="I217:I225" si="10">H217*0.9</f>
        <v>53850.258</v>
      </c>
      <c r="J217" s="20" t="s">
        <v>63</v>
      </c>
      <c r="K217" s="21" t="s">
        <v>14</v>
      </c>
    </row>
    <row r="218" ht="22.5" customHeight="1">
      <c r="A218" s="71" t="s">
        <v>205</v>
      </c>
      <c r="B218" s="15">
        <v>140.0</v>
      </c>
      <c r="C218" s="15">
        <v>180.0</v>
      </c>
      <c r="D218" s="15" t="s">
        <v>12</v>
      </c>
      <c r="E218" s="16">
        <v>15710.0</v>
      </c>
      <c r="F218" s="17">
        <v>25571.23</v>
      </c>
      <c r="G218" s="18">
        <v>41281.23</v>
      </c>
      <c r="H218" s="72">
        <v>62254.50000000001</v>
      </c>
      <c r="I218" s="19">
        <f t="shared" si="10"/>
        <v>56029.05</v>
      </c>
      <c r="J218" s="20" t="s">
        <v>63</v>
      </c>
      <c r="K218" s="21" t="s">
        <v>14</v>
      </c>
    </row>
    <row r="219" ht="22.5" customHeight="1">
      <c r="A219" s="71" t="s">
        <v>206</v>
      </c>
      <c r="B219" s="15">
        <v>140.0</v>
      </c>
      <c r="C219" s="15">
        <v>200.0</v>
      </c>
      <c r="D219" s="15" t="s">
        <v>12</v>
      </c>
      <c r="E219" s="16">
        <v>16868.0</v>
      </c>
      <c r="F219" s="17">
        <v>25936.9</v>
      </c>
      <c r="G219" s="18">
        <v>42804.9</v>
      </c>
      <c r="H219" s="72">
        <v>63563.115000000005</v>
      </c>
      <c r="I219" s="19">
        <f t="shared" si="10"/>
        <v>57206.8035</v>
      </c>
      <c r="J219" s="20" t="s">
        <v>63</v>
      </c>
      <c r="K219" s="21" t="s">
        <v>14</v>
      </c>
    </row>
    <row r="220" ht="22.5" customHeight="1">
      <c r="A220" s="71" t="s">
        <v>207</v>
      </c>
      <c r="B220" s="15">
        <v>140.0</v>
      </c>
      <c r="C220" s="15">
        <v>250.0</v>
      </c>
      <c r="D220" s="15" t="s">
        <v>12</v>
      </c>
      <c r="E220" s="16">
        <v>19820.0</v>
      </c>
      <c r="F220" s="17">
        <v>27477.57</v>
      </c>
      <c r="G220" s="18">
        <v>47297.57</v>
      </c>
      <c r="H220" s="72">
        <v>69077.08500000002</v>
      </c>
      <c r="I220" s="19">
        <f t="shared" si="10"/>
        <v>62169.3765</v>
      </c>
      <c r="J220" s="20" t="s">
        <v>63</v>
      </c>
      <c r="K220" s="21" t="s">
        <v>14</v>
      </c>
    </row>
    <row r="221" ht="22.5" customHeight="1">
      <c r="A221" s="71" t="s">
        <v>208</v>
      </c>
      <c r="B221" s="15">
        <v>140.0</v>
      </c>
      <c r="C221" s="15">
        <v>300.0</v>
      </c>
      <c r="D221" s="15" t="s">
        <v>12</v>
      </c>
      <c r="E221" s="16">
        <v>23810.0</v>
      </c>
      <c r="F221" s="17">
        <v>29425.95</v>
      </c>
      <c r="G221" s="18">
        <v>53235.95</v>
      </c>
      <c r="H221" s="72">
        <v>76048.66500000001</v>
      </c>
      <c r="I221" s="19">
        <f t="shared" si="10"/>
        <v>68443.7985</v>
      </c>
      <c r="J221" s="20" t="s">
        <v>63</v>
      </c>
      <c r="K221" s="21" t="s">
        <v>14</v>
      </c>
    </row>
    <row r="222" ht="22.5" customHeight="1">
      <c r="A222" s="69" t="s">
        <v>209</v>
      </c>
      <c r="B222" s="15">
        <v>160.0</v>
      </c>
      <c r="C222" s="15">
        <v>300.0</v>
      </c>
      <c r="D222" s="15" t="s">
        <v>12</v>
      </c>
      <c r="E222" s="29">
        <v>28265.0</v>
      </c>
      <c r="F222" s="30">
        <v>31995.74</v>
      </c>
      <c r="G222" s="31">
        <v>60260.74</v>
      </c>
      <c r="H222" s="70">
        <v>85245.93000000001</v>
      </c>
      <c r="I222" s="19">
        <f t="shared" si="10"/>
        <v>76721.337</v>
      </c>
      <c r="J222" s="20" t="s">
        <v>63</v>
      </c>
      <c r="K222" s="21" t="s">
        <v>14</v>
      </c>
    </row>
    <row r="223" ht="22.5" customHeight="1">
      <c r="A223" s="69" t="s">
        <v>210</v>
      </c>
      <c r="B223" s="15">
        <v>180.0</v>
      </c>
      <c r="C223" s="15">
        <v>300.0</v>
      </c>
      <c r="D223" s="15" t="s">
        <v>12</v>
      </c>
      <c r="E223" s="29">
        <v>30600.0</v>
      </c>
      <c r="F223" s="30">
        <v>33262.84</v>
      </c>
      <c r="G223" s="31">
        <v>63862.84</v>
      </c>
      <c r="H223" s="70">
        <v>89780.46000000002</v>
      </c>
      <c r="I223" s="19">
        <f t="shared" si="10"/>
        <v>80802.414</v>
      </c>
      <c r="J223" s="20" t="s">
        <v>63</v>
      </c>
      <c r="K223" s="21" t="s">
        <v>14</v>
      </c>
    </row>
    <row r="224" ht="22.5" customHeight="1">
      <c r="A224" s="28" t="s">
        <v>211</v>
      </c>
      <c r="B224" s="15">
        <v>180.0</v>
      </c>
      <c r="C224" s="15">
        <v>230.0</v>
      </c>
      <c r="D224" s="15" t="s">
        <v>12</v>
      </c>
      <c r="E224" s="29">
        <v>27610.0</v>
      </c>
      <c r="F224" s="30">
        <v>31995.4</v>
      </c>
      <c r="G224" s="31">
        <v>59605.4</v>
      </c>
      <c r="H224" s="32">
        <v>85244.77500000001</v>
      </c>
      <c r="I224" s="19">
        <f t="shared" si="10"/>
        <v>76720.2975</v>
      </c>
      <c r="J224" s="20" t="s">
        <v>63</v>
      </c>
      <c r="K224" s="21" t="s">
        <v>14</v>
      </c>
    </row>
    <row r="225" ht="22.5" customHeight="1">
      <c r="A225" s="28" t="s">
        <v>212</v>
      </c>
      <c r="B225" s="15">
        <v>200.0</v>
      </c>
      <c r="C225" s="15">
        <v>420.0</v>
      </c>
      <c r="D225" s="15" t="s">
        <v>12</v>
      </c>
      <c r="E225" s="29">
        <v>43955.0</v>
      </c>
      <c r="F225" s="30">
        <v>39488.21</v>
      </c>
      <c r="G225" s="31">
        <v>83443.21</v>
      </c>
      <c r="H225" s="32">
        <v>112058.10000000002</v>
      </c>
      <c r="I225" s="19">
        <f t="shared" si="10"/>
        <v>100852.29</v>
      </c>
      <c r="J225" s="20" t="s">
        <v>63</v>
      </c>
      <c r="K225" s="21" t="s">
        <v>14</v>
      </c>
    </row>
    <row r="226">
      <c r="A226" s="7"/>
      <c r="D226" s="22"/>
      <c r="E226" s="23"/>
      <c r="F226" s="23"/>
      <c r="G226" s="36"/>
      <c r="H226" s="37"/>
      <c r="K226" s="73"/>
    </row>
    <row r="227">
      <c r="A227" s="7"/>
      <c r="D227" s="22"/>
      <c r="E227" s="23"/>
      <c r="F227" s="23"/>
      <c r="G227" s="36"/>
      <c r="H227" s="37"/>
      <c r="K227" s="7"/>
    </row>
    <row r="228" ht="22.5" customHeight="1">
      <c r="A228" s="8" t="s">
        <v>213</v>
      </c>
      <c r="B228" s="74" t="s">
        <v>60</v>
      </c>
      <c r="C228" s="74" t="s">
        <v>61</v>
      </c>
      <c r="D228" s="10" t="s">
        <v>3</v>
      </c>
      <c r="E228" s="25" t="s">
        <v>4</v>
      </c>
      <c r="F228" s="26" t="s">
        <v>5</v>
      </c>
      <c r="G228" s="27" t="s">
        <v>6</v>
      </c>
      <c r="H228" s="13" t="s">
        <v>7</v>
      </c>
      <c r="I228" s="12" t="s">
        <v>20</v>
      </c>
      <c r="J228" s="13" t="s">
        <v>9</v>
      </c>
      <c r="K228" s="10" t="s">
        <v>10</v>
      </c>
    </row>
    <row r="229" ht="22.5" customHeight="1">
      <c r="A229" s="69" t="s">
        <v>214</v>
      </c>
      <c r="B229" s="15">
        <v>120.0</v>
      </c>
      <c r="C229" s="15">
        <v>160.0</v>
      </c>
      <c r="D229" s="15" t="s">
        <v>22</v>
      </c>
      <c r="E229" s="29">
        <v>15600.0</v>
      </c>
      <c r="F229" s="38">
        <v>25030.76</v>
      </c>
      <c r="G229" s="39">
        <v>40630.76</v>
      </c>
      <c r="H229" s="70">
        <v>60319.87500000001</v>
      </c>
      <c r="I229" s="19">
        <f t="shared" ref="I229:I249" si="11">H229*0.9</f>
        <v>54287.8875</v>
      </c>
      <c r="J229" s="20" t="s">
        <v>63</v>
      </c>
      <c r="K229" s="21" t="s">
        <v>14</v>
      </c>
    </row>
    <row r="230" ht="22.5" customHeight="1">
      <c r="A230" s="75" t="s">
        <v>215</v>
      </c>
      <c r="B230" s="15">
        <v>140.0</v>
      </c>
      <c r="C230" s="15">
        <v>180.0</v>
      </c>
      <c r="D230" s="15" t="s">
        <v>22</v>
      </c>
      <c r="E230" s="16">
        <v>16992.0</v>
      </c>
      <c r="F230" s="45">
        <v>26340.57</v>
      </c>
      <c r="G230" s="46">
        <v>43332.57</v>
      </c>
      <c r="H230" s="76">
        <v>65008.020000000004</v>
      </c>
      <c r="I230" s="19">
        <f t="shared" si="11"/>
        <v>58507.218</v>
      </c>
      <c r="J230" s="20" t="s">
        <v>63</v>
      </c>
      <c r="K230" s="21" t="s">
        <v>14</v>
      </c>
    </row>
    <row r="231" ht="22.5" customHeight="1">
      <c r="A231" s="75" t="s">
        <v>216</v>
      </c>
      <c r="B231" s="15">
        <v>140.0</v>
      </c>
      <c r="C231" s="15">
        <v>200.0</v>
      </c>
      <c r="D231" s="15" t="s">
        <v>22</v>
      </c>
      <c r="E231" s="16">
        <v>18112.0</v>
      </c>
      <c r="F231" s="45">
        <v>26888.52</v>
      </c>
      <c r="G231" s="46">
        <v>45000.52</v>
      </c>
      <c r="H231" s="76">
        <v>66968.05500000001</v>
      </c>
      <c r="I231" s="19">
        <f t="shared" si="11"/>
        <v>60271.2495</v>
      </c>
      <c r="J231" s="20" t="s">
        <v>63</v>
      </c>
      <c r="K231" s="21" t="s">
        <v>14</v>
      </c>
    </row>
    <row r="232" ht="22.5" customHeight="1">
      <c r="A232" s="77" t="s">
        <v>217</v>
      </c>
      <c r="B232" s="15">
        <v>140.0</v>
      </c>
      <c r="C232" s="15">
        <v>220.0</v>
      </c>
      <c r="D232" s="15" t="s">
        <v>22</v>
      </c>
      <c r="E232" s="29">
        <v>19470.0</v>
      </c>
      <c r="F232" s="38">
        <v>27861.22</v>
      </c>
      <c r="G232" s="39">
        <v>47331.22</v>
      </c>
      <c r="H232" s="70">
        <v>70449.225</v>
      </c>
      <c r="I232" s="19">
        <f t="shared" si="11"/>
        <v>63404.3025</v>
      </c>
      <c r="J232" s="20" t="s">
        <v>63</v>
      </c>
      <c r="K232" s="21" t="s">
        <v>14</v>
      </c>
    </row>
    <row r="233" ht="22.5" customHeight="1">
      <c r="A233" s="75" t="s">
        <v>218</v>
      </c>
      <c r="B233" s="15">
        <v>140.0</v>
      </c>
      <c r="C233" s="15">
        <v>250.0</v>
      </c>
      <c r="D233" s="15" t="s">
        <v>22</v>
      </c>
      <c r="E233" s="16">
        <v>21252.0</v>
      </c>
      <c r="F233" s="45">
        <v>28655.66</v>
      </c>
      <c r="G233" s="46">
        <v>49907.66</v>
      </c>
      <c r="H233" s="72">
        <v>73292.83500000002</v>
      </c>
      <c r="I233" s="19">
        <f t="shared" si="11"/>
        <v>65963.5515</v>
      </c>
      <c r="J233" s="20" t="s">
        <v>63</v>
      </c>
      <c r="K233" s="21" t="s">
        <v>14</v>
      </c>
    </row>
    <row r="234" ht="22.5" customHeight="1">
      <c r="A234" s="71" t="s">
        <v>219</v>
      </c>
      <c r="B234" s="15">
        <v>140.0</v>
      </c>
      <c r="C234" s="15">
        <v>300.0</v>
      </c>
      <c r="D234" s="15" t="s">
        <v>22</v>
      </c>
      <c r="E234" s="16">
        <v>25392.0</v>
      </c>
      <c r="F234" s="78">
        <v>30332.17</v>
      </c>
      <c r="G234" s="79">
        <v>55724.17</v>
      </c>
      <c r="H234" s="72">
        <v>79291.90500000001</v>
      </c>
      <c r="I234" s="19">
        <f t="shared" si="11"/>
        <v>71362.7145</v>
      </c>
      <c r="J234" s="20" t="s">
        <v>63</v>
      </c>
      <c r="K234" s="21" t="s">
        <v>14</v>
      </c>
    </row>
    <row r="235" ht="22.5" customHeight="1">
      <c r="A235" s="69" t="s">
        <v>220</v>
      </c>
      <c r="B235" s="15">
        <v>160.0</v>
      </c>
      <c r="C235" s="15">
        <v>200.0</v>
      </c>
      <c r="D235" s="15" t="s">
        <v>22</v>
      </c>
      <c r="E235" s="29">
        <v>22710.0</v>
      </c>
      <c r="F235" s="40">
        <v>30896.6</v>
      </c>
      <c r="G235" s="41">
        <v>53606.6</v>
      </c>
      <c r="H235" s="70">
        <v>81312.0</v>
      </c>
      <c r="I235" s="19">
        <f t="shared" si="11"/>
        <v>73180.8</v>
      </c>
      <c r="J235" s="20" t="s">
        <v>63</v>
      </c>
      <c r="K235" s="21" t="s">
        <v>14</v>
      </c>
    </row>
    <row r="236" ht="22.5" customHeight="1">
      <c r="A236" s="77" t="s">
        <v>221</v>
      </c>
      <c r="B236" s="15">
        <v>160.0</v>
      </c>
      <c r="C236" s="15">
        <v>240.0</v>
      </c>
      <c r="D236" s="15" t="s">
        <v>22</v>
      </c>
      <c r="E236" s="29">
        <v>25460.0</v>
      </c>
      <c r="F236" s="38">
        <v>30412.48</v>
      </c>
      <c r="G236" s="39">
        <v>55872.48</v>
      </c>
      <c r="H236" s="70">
        <v>79579.5</v>
      </c>
      <c r="I236" s="19">
        <f t="shared" si="11"/>
        <v>71621.55</v>
      </c>
      <c r="J236" s="20" t="s">
        <v>63</v>
      </c>
      <c r="K236" s="21" t="s">
        <v>14</v>
      </c>
    </row>
    <row r="237" ht="22.5" customHeight="1">
      <c r="A237" s="77" t="s">
        <v>222</v>
      </c>
      <c r="B237" s="15">
        <v>160.0</v>
      </c>
      <c r="C237" s="15">
        <v>260.0</v>
      </c>
      <c r="D237" s="15" t="s">
        <v>22</v>
      </c>
      <c r="E237" s="29">
        <v>26580.0</v>
      </c>
      <c r="F237" s="38">
        <v>31322.63</v>
      </c>
      <c r="G237" s="39">
        <v>57902.63</v>
      </c>
      <c r="H237" s="70">
        <v>82836.6</v>
      </c>
      <c r="I237" s="19">
        <f t="shared" si="11"/>
        <v>74552.94</v>
      </c>
      <c r="J237" s="20" t="s">
        <v>63</v>
      </c>
      <c r="K237" s="21" t="s">
        <v>14</v>
      </c>
    </row>
    <row r="238" ht="22.5" customHeight="1">
      <c r="A238" s="77" t="s">
        <v>223</v>
      </c>
      <c r="B238" s="15">
        <v>180.0</v>
      </c>
      <c r="C238" s="15">
        <v>260.0</v>
      </c>
      <c r="D238" s="15" t="s">
        <v>22</v>
      </c>
      <c r="E238" s="29">
        <v>28430.0</v>
      </c>
      <c r="F238" s="38">
        <v>32284.43</v>
      </c>
      <c r="G238" s="39">
        <v>60714.43</v>
      </c>
      <c r="H238" s="70">
        <v>86278.5</v>
      </c>
      <c r="I238" s="19">
        <f t="shared" si="11"/>
        <v>77650.65</v>
      </c>
      <c r="J238" s="20" t="s">
        <v>63</v>
      </c>
      <c r="K238" s="21" t="s">
        <v>14</v>
      </c>
    </row>
    <row r="239" ht="22.5" customHeight="1">
      <c r="A239" s="77" t="s">
        <v>224</v>
      </c>
      <c r="B239" s="15">
        <v>160.0</v>
      </c>
      <c r="C239" s="15">
        <v>280.0</v>
      </c>
      <c r="D239" s="15" t="s">
        <v>22</v>
      </c>
      <c r="E239" s="29">
        <v>27700.0</v>
      </c>
      <c r="F239" s="38">
        <v>33155.85</v>
      </c>
      <c r="G239" s="39">
        <v>60855.85</v>
      </c>
      <c r="H239" s="70">
        <v>89397.0</v>
      </c>
      <c r="I239" s="19">
        <f t="shared" si="11"/>
        <v>80457.3</v>
      </c>
      <c r="J239" s="20" t="s">
        <v>63</v>
      </c>
      <c r="K239" s="21" t="s">
        <v>14</v>
      </c>
    </row>
    <row r="240" ht="22.5" customHeight="1">
      <c r="A240" s="77" t="s">
        <v>225</v>
      </c>
      <c r="B240" s="15">
        <v>160.0</v>
      </c>
      <c r="C240" s="15">
        <v>300.0</v>
      </c>
      <c r="D240" s="15" t="s">
        <v>22</v>
      </c>
      <c r="E240" s="29">
        <v>31060.0</v>
      </c>
      <c r="F240" s="38">
        <v>32813.74</v>
      </c>
      <c r="G240" s="39">
        <v>63873.74</v>
      </c>
      <c r="H240" s="70">
        <v>88172.7</v>
      </c>
      <c r="I240" s="19">
        <f t="shared" si="11"/>
        <v>79355.43</v>
      </c>
      <c r="J240" s="20" t="s">
        <v>63</v>
      </c>
      <c r="K240" s="21" t="s">
        <v>14</v>
      </c>
    </row>
    <row r="241" ht="22.5" customHeight="1">
      <c r="A241" s="69" t="s">
        <v>226</v>
      </c>
      <c r="B241" s="15">
        <v>160.0</v>
      </c>
      <c r="C241" s="15">
        <v>350.0</v>
      </c>
      <c r="D241" s="15" t="s">
        <v>22</v>
      </c>
      <c r="E241" s="29">
        <v>35740.0</v>
      </c>
      <c r="F241" s="38">
        <v>35121.4</v>
      </c>
      <c r="G241" s="39">
        <v>70861.4</v>
      </c>
      <c r="H241" s="70">
        <v>96430.95000000003</v>
      </c>
      <c r="I241" s="19">
        <f t="shared" si="11"/>
        <v>86787.855</v>
      </c>
      <c r="J241" s="20" t="s">
        <v>63</v>
      </c>
      <c r="K241" s="21" t="s">
        <v>14</v>
      </c>
    </row>
    <row r="242" ht="22.5" customHeight="1">
      <c r="A242" s="69" t="s">
        <v>227</v>
      </c>
      <c r="B242" s="15">
        <v>160.0</v>
      </c>
      <c r="C242" s="15">
        <v>440.0</v>
      </c>
      <c r="D242" s="15" t="s">
        <v>22</v>
      </c>
      <c r="E242" s="29">
        <v>41680.0</v>
      </c>
      <c r="F242" s="38">
        <v>39452.7</v>
      </c>
      <c r="G242" s="39">
        <v>81132.7</v>
      </c>
      <c r="H242" s="70">
        <v>111931.05000000002</v>
      </c>
      <c r="I242" s="19">
        <f t="shared" si="11"/>
        <v>100737.945</v>
      </c>
      <c r="J242" s="20" t="s">
        <v>63</v>
      </c>
      <c r="K242" s="21" t="s">
        <v>14</v>
      </c>
    </row>
    <row r="243" ht="22.5" customHeight="1">
      <c r="A243" s="69" t="s">
        <v>228</v>
      </c>
      <c r="B243" s="15">
        <v>180.0</v>
      </c>
      <c r="C243" s="15">
        <v>220.0</v>
      </c>
      <c r="D243" s="15" t="s">
        <v>22</v>
      </c>
      <c r="E243" s="29">
        <v>26320.0</v>
      </c>
      <c r="F243" s="38">
        <v>32458.71</v>
      </c>
      <c r="G243" s="39">
        <v>58778.71</v>
      </c>
      <c r="H243" s="70">
        <v>86902.2</v>
      </c>
      <c r="I243" s="19">
        <f t="shared" si="11"/>
        <v>78211.98</v>
      </c>
      <c r="J243" s="20" t="s">
        <v>63</v>
      </c>
      <c r="K243" s="21" t="s">
        <v>14</v>
      </c>
    </row>
    <row r="244" ht="22.5" customHeight="1">
      <c r="A244" s="69" t="s">
        <v>229</v>
      </c>
      <c r="B244" s="15">
        <v>180.0</v>
      </c>
      <c r="C244" s="15">
        <v>300.0</v>
      </c>
      <c r="D244" s="15" t="s">
        <v>22</v>
      </c>
      <c r="E244" s="29">
        <v>32600.0</v>
      </c>
      <c r="F244" s="38">
        <v>34872.88</v>
      </c>
      <c r="G244" s="39">
        <v>67472.88</v>
      </c>
      <c r="H244" s="70">
        <v>95541.60000000002</v>
      </c>
      <c r="I244" s="19">
        <f t="shared" si="11"/>
        <v>85987.44</v>
      </c>
      <c r="J244" s="20" t="s">
        <v>63</v>
      </c>
      <c r="K244" s="21" t="s">
        <v>14</v>
      </c>
    </row>
    <row r="245" ht="22.5" customHeight="1">
      <c r="A245" s="69" t="s">
        <v>230</v>
      </c>
      <c r="B245" s="15">
        <v>180.0</v>
      </c>
      <c r="C245" s="15">
        <v>350.0</v>
      </c>
      <c r="D245" s="15" t="s">
        <v>22</v>
      </c>
      <c r="E245" s="29">
        <v>36860.0</v>
      </c>
      <c r="F245" s="38">
        <v>36292.98</v>
      </c>
      <c r="G245" s="39">
        <v>73152.98</v>
      </c>
      <c r="H245" s="70">
        <v>100623.60000000002</v>
      </c>
      <c r="I245" s="19">
        <f t="shared" si="11"/>
        <v>90561.24</v>
      </c>
      <c r="J245" s="20" t="s">
        <v>63</v>
      </c>
      <c r="K245" s="21" t="s">
        <v>14</v>
      </c>
    </row>
    <row r="246" ht="22.5" customHeight="1">
      <c r="A246" s="69" t="s">
        <v>231</v>
      </c>
      <c r="B246" s="15">
        <v>170.0</v>
      </c>
      <c r="C246" s="15">
        <v>380.0</v>
      </c>
      <c r="D246" s="15" t="s">
        <v>22</v>
      </c>
      <c r="E246" s="29">
        <v>38540.0</v>
      </c>
      <c r="F246" s="38">
        <v>37322.55</v>
      </c>
      <c r="G246" s="39">
        <v>75862.55</v>
      </c>
      <c r="H246" s="70">
        <v>104308.05000000002</v>
      </c>
      <c r="I246" s="19">
        <f t="shared" si="11"/>
        <v>93877.245</v>
      </c>
      <c r="J246" s="20" t="s">
        <v>63</v>
      </c>
      <c r="K246" s="21" t="s">
        <v>14</v>
      </c>
    </row>
    <row r="247" ht="22.5" customHeight="1">
      <c r="A247" s="69" t="s">
        <v>232</v>
      </c>
      <c r="B247" s="15">
        <v>180.0</v>
      </c>
      <c r="C247" s="15">
        <v>400.0</v>
      </c>
      <c r="D247" s="15" t="s">
        <v>22</v>
      </c>
      <c r="E247" s="29">
        <v>40560.0</v>
      </c>
      <c r="F247" s="38">
        <v>38068.11</v>
      </c>
      <c r="G247" s="39">
        <v>78628.11</v>
      </c>
      <c r="H247" s="70">
        <v>106976.10000000002</v>
      </c>
      <c r="I247" s="19">
        <f t="shared" si="11"/>
        <v>96278.49</v>
      </c>
      <c r="J247" s="20" t="s">
        <v>63</v>
      </c>
      <c r="K247" s="21" t="s">
        <v>14</v>
      </c>
    </row>
    <row r="248" ht="22.5" customHeight="1">
      <c r="A248" s="69" t="s">
        <v>233</v>
      </c>
      <c r="B248" s="15">
        <v>230.0</v>
      </c>
      <c r="C248" s="15">
        <v>400.0</v>
      </c>
      <c r="D248" s="15" t="s">
        <v>22</v>
      </c>
      <c r="E248" s="29">
        <v>44820.0</v>
      </c>
      <c r="F248" s="38">
        <v>40353.18</v>
      </c>
      <c r="G248" s="39">
        <v>85173.18</v>
      </c>
      <c r="H248" s="70">
        <v>115153.50000000001</v>
      </c>
      <c r="I248" s="19">
        <f t="shared" si="11"/>
        <v>103638.15</v>
      </c>
      <c r="J248" s="20" t="s">
        <v>63</v>
      </c>
      <c r="K248" s="21" t="s">
        <v>14</v>
      </c>
    </row>
    <row r="249" ht="22.5" customHeight="1">
      <c r="A249" s="69" t="s">
        <v>234</v>
      </c>
      <c r="B249" s="15">
        <v>210.0</v>
      </c>
      <c r="C249" s="15">
        <v>340.0</v>
      </c>
      <c r="D249" s="15" t="s">
        <v>22</v>
      </c>
      <c r="E249" s="29">
        <v>39100.0</v>
      </c>
      <c r="F249" s="38">
        <v>37044.7</v>
      </c>
      <c r="G249" s="39">
        <v>76144.7</v>
      </c>
      <c r="H249" s="70">
        <v>103313.59500000002</v>
      </c>
      <c r="I249" s="19">
        <f t="shared" si="11"/>
        <v>92982.2355</v>
      </c>
      <c r="J249" s="20" t="s">
        <v>63</v>
      </c>
      <c r="K249" s="21" t="s">
        <v>14</v>
      </c>
    </row>
    <row r="250">
      <c r="A250" s="7"/>
      <c r="D250" s="22"/>
      <c r="E250" s="23"/>
      <c r="F250" s="23"/>
      <c r="G250" s="36"/>
      <c r="H250" s="37"/>
      <c r="K250" s="7"/>
    </row>
    <row r="251">
      <c r="A251" s="7"/>
      <c r="D251" s="22"/>
      <c r="E251" s="23"/>
      <c r="F251" s="23"/>
      <c r="G251" s="36"/>
      <c r="H251" s="37"/>
      <c r="K251" s="7"/>
    </row>
    <row r="252" ht="22.5" customHeight="1">
      <c r="A252" s="8" t="s">
        <v>235</v>
      </c>
      <c r="B252" s="9" t="s">
        <v>60</v>
      </c>
      <c r="C252" s="9" t="s">
        <v>61</v>
      </c>
      <c r="D252" s="10" t="s">
        <v>3</v>
      </c>
      <c r="E252" s="25" t="s">
        <v>4</v>
      </c>
      <c r="F252" s="26" t="s">
        <v>5</v>
      </c>
      <c r="G252" s="27" t="s">
        <v>6</v>
      </c>
      <c r="H252" s="13" t="s">
        <v>7</v>
      </c>
      <c r="I252" s="12" t="s">
        <v>20</v>
      </c>
      <c r="J252" s="13" t="s">
        <v>9</v>
      </c>
      <c r="K252" s="10" t="s">
        <v>10</v>
      </c>
    </row>
    <row r="253" ht="22.5" customHeight="1">
      <c r="A253" s="14" t="s">
        <v>236</v>
      </c>
      <c r="B253" s="15">
        <v>140.0</v>
      </c>
      <c r="C253" s="15">
        <v>140.0</v>
      </c>
      <c r="D253" s="15" t="s">
        <v>12</v>
      </c>
      <c r="E253" s="16">
        <v>13840.0</v>
      </c>
      <c r="F253" s="17">
        <v>23513.6</v>
      </c>
      <c r="G253" s="18">
        <v>37353.6</v>
      </c>
      <c r="H253" s="19">
        <v>56590.38000000001</v>
      </c>
      <c r="I253" s="19">
        <f t="shared" ref="I253:I257" si="12">H253*0.9</f>
        <v>50931.342</v>
      </c>
      <c r="J253" s="20" t="s">
        <v>177</v>
      </c>
      <c r="K253" s="21" t="s">
        <v>14</v>
      </c>
    </row>
    <row r="254" ht="22.5" customHeight="1">
      <c r="A254" s="14" t="s">
        <v>237</v>
      </c>
      <c r="B254" s="15">
        <v>160.0</v>
      </c>
      <c r="C254" s="15">
        <v>160.0</v>
      </c>
      <c r="D254" s="15" t="s">
        <v>12</v>
      </c>
      <c r="E254" s="16">
        <v>17735.0</v>
      </c>
      <c r="F254" s="17">
        <v>24963.56</v>
      </c>
      <c r="G254" s="18">
        <v>42698.56</v>
      </c>
      <c r="H254" s="19">
        <v>61779.795000000006</v>
      </c>
      <c r="I254" s="19">
        <f t="shared" si="12"/>
        <v>55601.8155</v>
      </c>
      <c r="J254" s="20" t="s">
        <v>177</v>
      </c>
      <c r="K254" s="21" t="s">
        <v>14</v>
      </c>
    </row>
    <row r="255" ht="22.5" customHeight="1">
      <c r="A255" s="14" t="s">
        <v>238</v>
      </c>
      <c r="B255" s="15">
        <v>180.0</v>
      </c>
      <c r="C255" s="15">
        <v>180.0</v>
      </c>
      <c r="D255" s="15" t="s">
        <v>12</v>
      </c>
      <c r="E255" s="16">
        <v>21285.0</v>
      </c>
      <c r="F255" s="17">
        <v>26685.39</v>
      </c>
      <c r="G255" s="18">
        <v>47970.39</v>
      </c>
      <c r="H255" s="19">
        <v>67941.72000000002</v>
      </c>
      <c r="I255" s="19">
        <f t="shared" si="12"/>
        <v>61147.548</v>
      </c>
      <c r="J255" s="20" t="s">
        <v>177</v>
      </c>
      <c r="K255" s="21" t="s">
        <v>14</v>
      </c>
    </row>
    <row r="256" ht="22.5" customHeight="1">
      <c r="A256" s="14" t="s">
        <v>239</v>
      </c>
      <c r="B256" s="15">
        <v>200.0</v>
      </c>
      <c r="C256" s="15">
        <v>200.0</v>
      </c>
      <c r="D256" s="15" t="s">
        <v>12</v>
      </c>
      <c r="E256" s="16">
        <v>23525.0</v>
      </c>
      <c r="F256" s="17">
        <v>31067.1</v>
      </c>
      <c r="G256" s="18">
        <v>54592.1</v>
      </c>
      <c r="H256" s="19">
        <v>83622.0</v>
      </c>
      <c r="I256" s="19">
        <f t="shared" si="12"/>
        <v>75259.8</v>
      </c>
      <c r="J256" s="20" t="s">
        <v>177</v>
      </c>
      <c r="K256" s="21" t="s">
        <v>14</v>
      </c>
    </row>
    <row r="257" ht="22.5" customHeight="1">
      <c r="A257" s="14" t="s">
        <v>239</v>
      </c>
      <c r="B257" s="15">
        <v>200.0</v>
      </c>
      <c r="C257" s="15">
        <v>200.0</v>
      </c>
      <c r="D257" s="15" t="s">
        <v>12</v>
      </c>
      <c r="E257" s="16">
        <v>38750.0</v>
      </c>
      <c r="F257" s="17">
        <v>38361.25</v>
      </c>
      <c r="G257" s="18">
        <v>77111.25</v>
      </c>
      <c r="H257" s="19">
        <v>109725.00000000001</v>
      </c>
      <c r="I257" s="19">
        <f t="shared" si="12"/>
        <v>98752.5</v>
      </c>
      <c r="J257" s="20" t="s">
        <v>177</v>
      </c>
      <c r="K257" s="21" t="s">
        <v>14</v>
      </c>
    </row>
    <row r="258">
      <c r="A258" s="7"/>
      <c r="D258" s="22"/>
      <c r="E258" s="23"/>
      <c r="F258" s="23"/>
      <c r="G258" s="36"/>
      <c r="H258" s="37"/>
      <c r="K258" s="7"/>
    </row>
    <row r="259">
      <c r="A259" s="7"/>
      <c r="D259" s="22"/>
      <c r="E259" s="23"/>
      <c r="F259" s="23"/>
      <c r="G259" s="36"/>
      <c r="H259" s="37"/>
      <c r="K259" s="7"/>
    </row>
    <row r="260" ht="22.5" customHeight="1">
      <c r="A260" s="8" t="s">
        <v>240</v>
      </c>
      <c r="B260" s="9" t="s">
        <v>60</v>
      </c>
      <c r="C260" s="9" t="s">
        <v>61</v>
      </c>
      <c r="D260" s="10" t="s">
        <v>3</v>
      </c>
      <c r="E260" s="25" t="s">
        <v>4</v>
      </c>
      <c r="F260" s="26" t="s">
        <v>5</v>
      </c>
      <c r="G260" s="27" t="s">
        <v>6</v>
      </c>
      <c r="H260" s="13" t="s">
        <v>7</v>
      </c>
      <c r="I260" s="12" t="s">
        <v>20</v>
      </c>
      <c r="J260" s="13" t="s">
        <v>9</v>
      </c>
      <c r="K260" s="10" t="s">
        <v>10</v>
      </c>
    </row>
    <row r="261" ht="22.5" customHeight="1">
      <c r="A261" s="14" t="s">
        <v>236</v>
      </c>
      <c r="B261" s="15">
        <v>140.0</v>
      </c>
      <c r="C261" s="15">
        <v>140.0</v>
      </c>
      <c r="D261" s="15" t="s">
        <v>22</v>
      </c>
      <c r="E261" s="16">
        <v>14344.0</v>
      </c>
      <c r="F261" s="17">
        <v>24102.65</v>
      </c>
      <c r="G261" s="18">
        <v>38446.65</v>
      </c>
      <c r="H261" s="19">
        <v>58699.41</v>
      </c>
      <c r="I261" s="19">
        <f t="shared" ref="I261:I264" si="13">H261*0.9</f>
        <v>52829.469</v>
      </c>
      <c r="J261" s="20" t="s">
        <v>177</v>
      </c>
      <c r="K261" s="21" t="s">
        <v>14</v>
      </c>
    </row>
    <row r="262" ht="22.5" customHeight="1">
      <c r="A262" s="14" t="s">
        <v>241</v>
      </c>
      <c r="B262" s="15">
        <v>160.0</v>
      </c>
      <c r="C262" s="15">
        <v>160.0</v>
      </c>
      <c r="D262" s="15" t="s">
        <v>22</v>
      </c>
      <c r="E262" s="16">
        <v>18976.0</v>
      </c>
      <c r="F262" s="17">
        <v>25779.16</v>
      </c>
      <c r="G262" s="18">
        <v>44755.16</v>
      </c>
      <c r="H262" s="19">
        <v>64698.48000000001</v>
      </c>
      <c r="I262" s="19">
        <f t="shared" si="13"/>
        <v>58228.632</v>
      </c>
      <c r="J262" s="20" t="s">
        <v>177</v>
      </c>
      <c r="K262" s="21" t="s">
        <v>14</v>
      </c>
    </row>
    <row r="263" ht="22.5" customHeight="1">
      <c r="A263" s="14" t="s">
        <v>242</v>
      </c>
      <c r="B263" s="15">
        <v>180.0</v>
      </c>
      <c r="C263" s="15">
        <v>180.0</v>
      </c>
      <c r="D263" s="15" t="s">
        <v>22</v>
      </c>
      <c r="E263" s="16">
        <v>22608.0</v>
      </c>
      <c r="F263" s="17">
        <v>27682.23</v>
      </c>
      <c r="G263" s="18">
        <v>50290.23</v>
      </c>
      <c r="H263" s="19">
        <v>71508.36000000002</v>
      </c>
      <c r="I263" s="19">
        <f t="shared" si="13"/>
        <v>64357.524</v>
      </c>
      <c r="J263" s="20" t="s">
        <v>177</v>
      </c>
      <c r="K263" s="21" t="s">
        <v>14</v>
      </c>
    </row>
    <row r="264" ht="22.5" customHeight="1">
      <c r="A264" s="14" t="s">
        <v>243</v>
      </c>
      <c r="B264" s="15">
        <v>200.0</v>
      </c>
      <c r="C264" s="15">
        <v>200.0</v>
      </c>
      <c r="D264" s="15" t="s">
        <v>22</v>
      </c>
      <c r="E264" s="16">
        <v>25120.0</v>
      </c>
      <c r="F264" s="17">
        <v>32194.75</v>
      </c>
      <c r="G264" s="18">
        <v>57314.75</v>
      </c>
      <c r="H264" s="58">
        <v>87657.57</v>
      </c>
      <c r="I264" s="58">
        <f t="shared" si="13"/>
        <v>78891.813</v>
      </c>
      <c r="J264" s="20" t="s">
        <v>177</v>
      </c>
      <c r="K264" s="21" t="s">
        <v>14</v>
      </c>
    </row>
    <row r="265">
      <c r="A265" s="80"/>
      <c r="B265" s="60"/>
      <c r="C265" s="61"/>
      <c r="D265" s="62"/>
      <c r="E265" s="63"/>
      <c r="F265" s="47"/>
      <c r="G265" s="51"/>
      <c r="H265" s="64"/>
      <c r="I265" s="47"/>
      <c r="J265" s="81"/>
    </row>
    <row r="266">
      <c r="A266" s="47"/>
      <c r="B266" s="60"/>
      <c r="C266" s="65"/>
      <c r="D266" s="62"/>
      <c r="E266" s="66"/>
      <c r="F266" s="47"/>
      <c r="G266" s="63"/>
      <c r="H266" s="51"/>
      <c r="I266" s="47"/>
      <c r="J266" s="59"/>
    </row>
    <row r="267">
      <c r="A267" s="47"/>
      <c r="B267" s="60"/>
      <c r="C267" s="65"/>
      <c r="D267" s="62"/>
      <c r="E267" s="66"/>
      <c r="F267" s="47"/>
      <c r="G267" s="63"/>
      <c r="H267" s="51"/>
      <c r="I267" s="47"/>
      <c r="J267" s="59"/>
    </row>
    <row r="268">
      <c r="A268" s="47"/>
      <c r="B268" s="60"/>
      <c r="C268" s="65"/>
      <c r="D268" s="62"/>
      <c r="E268" s="66"/>
      <c r="F268" s="47"/>
      <c r="G268" s="63"/>
      <c r="H268" s="51"/>
      <c r="I268" s="47"/>
      <c r="J268" s="59"/>
    </row>
    <row r="269">
      <c r="A269" s="47"/>
      <c r="B269" s="47"/>
      <c r="C269" s="61"/>
      <c r="D269" s="62"/>
      <c r="E269" s="82"/>
      <c r="F269" s="47"/>
      <c r="G269" s="82"/>
      <c r="H269" s="64"/>
      <c r="I269" s="47"/>
      <c r="J269" s="59"/>
    </row>
    <row r="270">
      <c r="A270" s="47"/>
      <c r="B270" s="60"/>
      <c r="C270" s="65"/>
      <c r="D270" s="62"/>
      <c r="E270" s="66"/>
      <c r="F270" s="47"/>
      <c r="G270" s="63"/>
      <c r="H270" s="51"/>
      <c r="I270" s="47"/>
      <c r="J270" s="59"/>
    </row>
    <row r="271">
      <c r="A271" s="47"/>
      <c r="B271" s="60"/>
      <c r="C271" s="65"/>
      <c r="D271" s="62"/>
      <c r="E271" s="66"/>
      <c r="F271" s="47"/>
      <c r="G271" s="63"/>
      <c r="H271" s="51"/>
      <c r="I271" s="47"/>
      <c r="J271" s="59"/>
    </row>
    <row r="272">
      <c r="A272" s="47"/>
      <c r="B272" s="60"/>
      <c r="C272" s="65"/>
      <c r="D272" s="62"/>
      <c r="E272" s="66"/>
      <c r="F272" s="47"/>
      <c r="G272" s="63"/>
      <c r="H272" s="51"/>
      <c r="I272" s="47"/>
      <c r="J272" s="59"/>
    </row>
    <row r="273">
      <c r="A273" s="47"/>
      <c r="B273" s="47"/>
      <c r="C273" s="61"/>
      <c r="D273" s="62"/>
      <c r="E273" s="82"/>
      <c r="F273" s="47"/>
      <c r="G273" s="82"/>
      <c r="H273" s="64"/>
      <c r="I273" s="47"/>
      <c r="J273" s="59"/>
    </row>
    <row r="274">
      <c r="A274" s="47"/>
      <c r="B274" s="60"/>
      <c r="C274" s="65"/>
      <c r="D274" s="62"/>
      <c r="E274" s="66"/>
      <c r="F274" s="47"/>
      <c r="G274" s="63"/>
      <c r="H274" s="51"/>
      <c r="I274" s="47"/>
      <c r="J274" s="59"/>
    </row>
    <row r="275">
      <c r="A275" s="47"/>
      <c r="B275" s="60"/>
      <c r="C275" s="65"/>
      <c r="D275" s="62"/>
      <c r="E275" s="66"/>
      <c r="F275" s="47"/>
      <c r="G275" s="63"/>
      <c r="H275" s="51"/>
      <c r="I275" s="47"/>
      <c r="J275" s="59"/>
    </row>
    <row r="276">
      <c r="A276" s="47"/>
      <c r="B276" s="60"/>
      <c r="C276" s="65"/>
      <c r="D276" s="62"/>
      <c r="E276" s="66"/>
      <c r="F276" s="47"/>
      <c r="G276" s="63"/>
      <c r="H276" s="51"/>
      <c r="I276" s="47"/>
      <c r="J276" s="59"/>
    </row>
    <row r="277">
      <c r="A277" s="47"/>
      <c r="B277" s="47"/>
      <c r="C277" s="61"/>
      <c r="D277" s="62"/>
      <c r="E277" s="82"/>
      <c r="F277" s="47"/>
      <c r="G277" s="82"/>
      <c r="H277" s="64"/>
      <c r="I277" s="47"/>
      <c r="J277" s="59"/>
    </row>
    <row r="278">
      <c r="A278" s="47"/>
      <c r="B278" s="60"/>
      <c r="C278" s="65"/>
      <c r="D278" s="62"/>
      <c r="E278" s="66"/>
      <c r="F278" s="47"/>
      <c r="G278" s="63"/>
      <c r="H278" s="51"/>
      <c r="I278" s="47"/>
      <c r="J278" s="59"/>
    </row>
    <row r="279">
      <c r="A279" s="47"/>
      <c r="B279" s="60"/>
      <c r="C279" s="65"/>
      <c r="D279" s="62"/>
      <c r="E279" s="66"/>
      <c r="F279" s="47"/>
      <c r="G279" s="63"/>
      <c r="H279" s="51"/>
      <c r="I279" s="47"/>
      <c r="J279" s="59"/>
    </row>
    <row r="280">
      <c r="A280" s="47"/>
      <c r="B280" s="60"/>
      <c r="C280" s="65"/>
      <c r="D280" s="62"/>
      <c r="E280" s="66"/>
      <c r="F280" s="47"/>
      <c r="G280" s="63"/>
      <c r="H280" s="51"/>
      <c r="I280" s="47"/>
      <c r="J280" s="59"/>
    </row>
    <row r="281">
      <c r="A281" s="47"/>
      <c r="B281" s="47"/>
      <c r="C281" s="47"/>
      <c r="D281" s="47"/>
      <c r="E281" s="47"/>
      <c r="F281" s="47"/>
      <c r="G281" s="47"/>
      <c r="H281" s="64"/>
      <c r="I281" s="47"/>
      <c r="J281" s="59"/>
    </row>
    <row r="282">
      <c r="A282" s="47"/>
      <c r="B282" s="60"/>
      <c r="C282" s="65"/>
      <c r="D282" s="62"/>
      <c r="E282" s="66"/>
      <c r="F282" s="47"/>
      <c r="G282" s="63"/>
      <c r="H282" s="51"/>
      <c r="I282" s="47"/>
      <c r="J282" s="59"/>
    </row>
    <row r="283">
      <c r="A283" s="47"/>
      <c r="B283" s="60"/>
      <c r="C283" s="65"/>
      <c r="D283" s="62"/>
      <c r="E283" s="66"/>
      <c r="F283" s="47"/>
      <c r="G283" s="63"/>
      <c r="H283" s="51"/>
      <c r="I283" s="47"/>
      <c r="J283" s="59"/>
    </row>
    <row r="284">
      <c r="A284" s="47"/>
      <c r="B284" s="60"/>
      <c r="C284" s="65"/>
      <c r="D284" s="62"/>
      <c r="E284" s="66"/>
      <c r="F284" s="47"/>
      <c r="G284" s="63"/>
      <c r="H284" s="51"/>
      <c r="I284" s="47"/>
      <c r="J284" s="59"/>
    </row>
    <row r="285">
      <c r="A285" s="47"/>
      <c r="B285" s="47"/>
      <c r="C285" s="62"/>
      <c r="D285" s="62"/>
      <c r="E285" s="82"/>
      <c r="F285" s="47"/>
      <c r="G285" s="82"/>
      <c r="H285" s="51"/>
      <c r="I285" s="47"/>
      <c r="J285" s="59"/>
    </row>
    <row r="286">
      <c r="A286" s="47"/>
      <c r="B286" s="47"/>
      <c r="C286" s="62"/>
      <c r="D286" s="62"/>
      <c r="E286" s="82"/>
      <c r="F286" s="47"/>
      <c r="G286" s="82"/>
      <c r="H286" s="51"/>
      <c r="I286" s="47"/>
      <c r="J286" s="59"/>
    </row>
    <row r="287">
      <c r="A287" s="47"/>
      <c r="B287" s="60"/>
      <c r="C287" s="65"/>
      <c r="D287" s="62"/>
      <c r="E287" s="66"/>
      <c r="F287" s="47"/>
      <c r="G287" s="63"/>
      <c r="H287" s="51"/>
      <c r="I287" s="47"/>
      <c r="J287" s="59"/>
    </row>
    <row r="288">
      <c r="A288" s="47"/>
      <c r="B288" s="60"/>
      <c r="C288" s="65"/>
      <c r="D288" s="62"/>
      <c r="E288" s="66"/>
      <c r="F288" s="47"/>
      <c r="G288" s="63"/>
      <c r="H288" s="51"/>
      <c r="I288" s="47"/>
      <c r="J288" s="59"/>
    </row>
    <row r="289">
      <c r="A289" s="47"/>
      <c r="B289" s="60"/>
      <c r="C289" s="65"/>
      <c r="D289" s="62"/>
      <c r="E289" s="66"/>
      <c r="F289" s="47"/>
      <c r="G289" s="63"/>
      <c r="H289" s="51"/>
      <c r="I289" s="47"/>
      <c r="J289" s="59"/>
    </row>
    <row r="290">
      <c r="A290" s="83"/>
      <c r="B290" s="47"/>
      <c r="C290" s="62"/>
      <c r="D290" s="62"/>
      <c r="E290" s="82"/>
      <c r="F290" s="47"/>
      <c r="G290" s="82"/>
      <c r="H290" s="51"/>
      <c r="I290" s="47"/>
      <c r="J290" s="59"/>
    </row>
    <row r="291">
      <c r="A291" s="47"/>
      <c r="B291" s="83"/>
      <c r="C291" s="62"/>
      <c r="D291" s="62"/>
      <c r="E291" s="82"/>
      <c r="F291" s="47"/>
      <c r="G291" s="82"/>
      <c r="H291" s="51"/>
      <c r="I291" s="47"/>
      <c r="J291" s="59"/>
    </row>
    <row r="292">
      <c r="A292" s="80"/>
      <c r="B292" s="47"/>
      <c r="C292" s="61"/>
      <c r="D292" s="62"/>
      <c r="E292" s="63"/>
      <c r="F292" s="47"/>
      <c r="G292" s="51"/>
      <c r="H292" s="64"/>
      <c r="I292" s="47"/>
      <c r="J292" s="64"/>
    </row>
    <row r="293">
      <c r="A293" s="47"/>
      <c r="B293" s="60"/>
      <c r="C293" s="65"/>
      <c r="D293" s="62"/>
      <c r="E293" s="66"/>
      <c r="F293" s="47"/>
      <c r="G293" s="63"/>
      <c r="H293" s="51"/>
      <c r="I293" s="47"/>
      <c r="J293" s="59"/>
    </row>
    <row r="294">
      <c r="A294" s="47"/>
      <c r="B294" s="60"/>
      <c r="C294" s="65"/>
      <c r="D294" s="62"/>
      <c r="E294" s="66"/>
      <c r="F294" s="47"/>
      <c r="G294" s="63"/>
      <c r="H294" s="51"/>
      <c r="I294" s="47"/>
      <c r="J294" s="59"/>
    </row>
    <row r="295">
      <c r="A295" s="47"/>
      <c r="B295" s="60"/>
      <c r="C295" s="65"/>
      <c r="D295" s="62"/>
      <c r="E295" s="66"/>
      <c r="F295" s="47"/>
      <c r="G295" s="63"/>
      <c r="H295" s="51"/>
      <c r="I295" s="47"/>
      <c r="J295" s="59"/>
    </row>
    <row r="296">
      <c r="A296" s="47"/>
      <c r="B296" s="60"/>
      <c r="C296" s="65"/>
      <c r="D296" s="62"/>
      <c r="E296" s="66"/>
      <c r="F296" s="47"/>
      <c r="G296" s="63"/>
      <c r="H296" s="51"/>
      <c r="I296" s="47"/>
      <c r="J296" s="59"/>
    </row>
    <row r="297">
      <c r="A297" s="47"/>
      <c r="B297" s="60"/>
      <c r="C297" s="65"/>
      <c r="D297" s="62"/>
      <c r="E297" s="66"/>
      <c r="F297" s="47"/>
      <c r="G297" s="63"/>
      <c r="H297" s="51"/>
      <c r="I297" s="47"/>
      <c r="J297" s="59"/>
    </row>
    <row r="298">
      <c r="A298" s="47"/>
      <c r="B298" s="60"/>
      <c r="C298" s="65"/>
      <c r="D298" s="62"/>
      <c r="E298" s="66"/>
      <c r="F298" s="47"/>
      <c r="G298" s="63"/>
      <c r="H298" s="51"/>
      <c r="I298" s="47"/>
      <c r="J298" s="59"/>
    </row>
    <row r="299">
      <c r="A299" s="47"/>
      <c r="B299" s="60"/>
      <c r="C299" s="65"/>
      <c r="D299" s="62"/>
      <c r="E299" s="66"/>
      <c r="F299" s="47"/>
      <c r="G299" s="63"/>
      <c r="H299" s="51"/>
      <c r="I299" s="47"/>
      <c r="J299" s="59"/>
    </row>
    <row r="300">
      <c r="A300" s="47"/>
      <c r="B300" s="60"/>
      <c r="C300" s="65"/>
      <c r="D300" s="62"/>
      <c r="E300" s="66"/>
      <c r="F300" s="47"/>
      <c r="G300" s="63"/>
      <c r="H300" s="51"/>
      <c r="I300" s="47"/>
      <c r="J300" s="59"/>
    </row>
    <row r="301">
      <c r="A301" s="47"/>
      <c r="B301" s="60"/>
      <c r="C301" s="65"/>
      <c r="D301" s="62"/>
      <c r="E301" s="66"/>
      <c r="F301" s="47"/>
      <c r="G301" s="63"/>
      <c r="H301" s="51"/>
      <c r="I301" s="47"/>
      <c r="J301" s="59"/>
    </row>
    <row r="302">
      <c r="A302" s="47"/>
      <c r="B302" s="60"/>
      <c r="C302" s="65"/>
      <c r="D302" s="47"/>
      <c r="E302" s="65"/>
      <c r="F302" s="47"/>
      <c r="G302" s="84"/>
      <c r="H302" s="51"/>
      <c r="I302" s="47"/>
      <c r="J302" s="59"/>
    </row>
    <row r="303">
      <c r="A303" s="47"/>
      <c r="B303" s="47"/>
      <c r="C303" s="62"/>
      <c r="D303" s="62"/>
      <c r="E303" s="82"/>
      <c r="F303" s="47"/>
      <c r="G303" s="82"/>
      <c r="H303" s="51"/>
      <c r="I303" s="47"/>
      <c r="J303" s="59"/>
    </row>
    <row r="304">
      <c r="A304" s="47"/>
      <c r="B304" s="47"/>
      <c r="C304" s="62"/>
      <c r="D304" s="62"/>
      <c r="E304" s="82"/>
      <c r="F304" s="47"/>
      <c r="G304" s="82"/>
      <c r="H304" s="51"/>
      <c r="I304" s="47"/>
      <c r="J304" s="59"/>
    </row>
    <row r="305">
      <c r="A305" s="47"/>
      <c r="B305" s="47"/>
      <c r="C305" s="62"/>
      <c r="D305" s="62"/>
      <c r="E305" s="82"/>
      <c r="F305" s="47"/>
      <c r="G305" s="82"/>
      <c r="H305" s="64"/>
      <c r="I305" s="47"/>
      <c r="J305" s="59"/>
    </row>
    <row r="306">
      <c r="A306" s="47"/>
      <c r="B306" s="60"/>
      <c r="C306" s="61"/>
      <c r="D306" s="62"/>
      <c r="E306" s="63"/>
      <c r="F306" s="47"/>
      <c r="G306" s="51"/>
      <c r="H306" s="64"/>
      <c r="I306" s="47"/>
      <c r="J306" s="64"/>
    </row>
    <row r="307">
      <c r="A307" s="60"/>
      <c r="B307" s="60"/>
      <c r="C307" s="65"/>
      <c r="D307" s="62"/>
      <c r="E307" s="66"/>
      <c r="F307" s="47"/>
      <c r="G307" s="63"/>
      <c r="H307" s="51"/>
      <c r="I307" s="47"/>
      <c r="J307" s="59"/>
    </row>
    <row r="308">
      <c r="A308" s="60"/>
      <c r="B308" s="60"/>
      <c r="C308" s="65"/>
      <c r="D308" s="62"/>
      <c r="E308" s="66"/>
      <c r="F308" s="47"/>
      <c r="G308" s="63"/>
      <c r="H308" s="51"/>
      <c r="I308" s="47"/>
      <c r="J308" s="59"/>
    </row>
    <row r="309">
      <c r="A309" s="60"/>
      <c r="B309" s="60"/>
      <c r="C309" s="65"/>
      <c r="D309" s="62"/>
      <c r="E309" s="66"/>
      <c r="F309" s="47"/>
      <c r="G309" s="63"/>
      <c r="H309" s="51"/>
      <c r="I309" s="47"/>
      <c r="J309" s="59"/>
    </row>
    <row r="310">
      <c r="A310" s="47"/>
      <c r="B310" s="47"/>
      <c r="C310" s="61"/>
      <c r="D310" s="62"/>
      <c r="E310" s="82"/>
      <c r="F310" s="47"/>
      <c r="G310" s="82"/>
      <c r="H310" s="64"/>
      <c r="I310" s="47"/>
      <c r="J310" s="59"/>
    </row>
    <row r="311">
      <c r="A311" s="60"/>
      <c r="B311" s="60"/>
      <c r="C311" s="65"/>
      <c r="D311" s="62"/>
      <c r="E311" s="66"/>
      <c r="F311" s="47"/>
      <c r="G311" s="63"/>
      <c r="H311" s="51"/>
      <c r="I311" s="47"/>
      <c r="J311" s="59"/>
    </row>
    <row r="312">
      <c r="A312" s="60"/>
      <c r="B312" s="60"/>
      <c r="C312" s="65"/>
      <c r="D312" s="62"/>
      <c r="E312" s="66"/>
      <c r="F312" s="47"/>
      <c r="G312" s="63"/>
      <c r="H312" s="51"/>
      <c r="I312" s="47"/>
      <c r="J312" s="59"/>
    </row>
    <row r="313">
      <c r="A313" s="60"/>
      <c r="B313" s="60"/>
      <c r="C313" s="65"/>
      <c r="D313" s="62"/>
      <c r="E313" s="66"/>
      <c r="F313" s="47"/>
      <c r="G313" s="63"/>
      <c r="H313" s="51"/>
      <c r="I313" s="47"/>
      <c r="J313" s="59"/>
    </row>
    <row r="314">
      <c r="A314" s="60"/>
      <c r="B314" s="60"/>
      <c r="C314" s="65"/>
      <c r="D314" s="62"/>
      <c r="E314" s="66"/>
      <c r="F314" s="47"/>
      <c r="G314" s="63"/>
      <c r="H314" s="51"/>
      <c r="I314" s="47"/>
      <c r="J314" s="59"/>
    </row>
    <row r="315">
      <c r="A315" s="47"/>
      <c r="B315" s="47"/>
      <c r="C315" s="61"/>
      <c r="D315" s="62"/>
      <c r="E315" s="82"/>
      <c r="F315" s="47"/>
      <c r="G315" s="82"/>
      <c r="H315" s="64"/>
      <c r="I315" s="47"/>
      <c r="J315" s="59"/>
    </row>
    <row r="316">
      <c r="A316" s="60"/>
      <c r="B316" s="60"/>
      <c r="C316" s="65"/>
      <c r="D316" s="62"/>
      <c r="E316" s="66"/>
      <c r="F316" s="47"/>
      <c r="G316" s="63"/>
      <c r="H316" s="51"/>
      <c r="I316" s="47"/>
      <c r="J316" s="59"/>
    </row>
    <row r="317">
      <c r="A317" s="60"/>
      <c r="B317" s="60"/>
      <c r="C317" s="65"/>
      <c r="D317" s="62"/>
      <c r="E317" s="66"/>
      <c r="F317" s="47"/>
      <c r="G317" s="63"/>
      <c r="H317" s="51"/>
      <c r="I317" s="47"/>
      <c r="J317" s="59"/>
    </row>
    <row r="318">
      <c r="A318" s="60"/>
      <c r="B318" s="60"/>
      <c r="C318" s="65"/>
      <c r="D318" s="62"/>
      <c r="E318" s="66"/>
      <c r="F318" s="47"/>
      <c r="G318" s="63"/>
      <c r="H318" s="51"/>
      <c r="I318" s="47"/>
      <c r="J318" s="59"/>
    </row>
    <row r="319">
      <c r="A319" s="47"/>
      <c r="B319" s="47"/>
      <c r="C319" s="62"/>
      <c r="D319" s="62"/>
      <c r="E319" s="82"/>
      <c r="F319" s="47"/>
      <c r="G319" s="82"/>
      <c r="H319" s="51"/>
      <c r="I319" s="47"/>
      <c r="J319" s="59"/>
    </row>
    <row r="320">
      <c r="A320" s="47"/>
      <c r="B320" s="47"/>
      <c r="C320" s="62"/>
      <c r="D320" s="62"/>
      <c r="E320" s="82"/>
      <c r="F320" s="47"/>
      <c r="G320" s="82"/>
      <c r="H320" s="51"/>
      <c r="I320" s="47"/>
      <c r="J320" s="59"/>
    </row>
    <row r="321">
      <c r="A321" s="60"/>
      <c r="B321" s="60"/>
      <c r="C321" s="65"/>
      <c r="D321" s="62"/>
      <c r="E321" s="66"/>
      <c r="F321" s="47"/>
      <c r="G321" s="63"/>
      <c r="H321" s="51"/>
      <c r="I321" s="47"/>
      <c r="J321" s="59"/>
    </row>
    <row r="322">
      <c r="A322" s="60"/>
      <c r="B322" s="60"/>
      <c r="C322" s="65"/>
      <c r="D322" s="62"/>
      <c r="E322" s="66"/>
      <c r="F322" s="47"/>
      <c r="G322" s="63"/>
      <c r="H322" s="51"/>
      <c r="I322" s="47"/>
      <c r="J322" s="59"/>
    </row>
    <row r="323">
      <c r="A323" s="47"/>
      <c r="B323" s="47"/>
      <c r="C323" s="61"/>
      <c r="D323" s="62"/>
      <c r="E323" s="82"/>
      <c r="F323" s="47"/>
      <c r="G323" s="82"/>
      <c r="H323" s="64"/>
      <c r="I323" s="47"/>
      <c r="J323" s="59"/>
    </row>
    <row r="324">
      <c r="A324" s="47"/>
      <c r="B324" s="47"/>
      <c r="C324" s="61"/>
      <c r="D324" s="62"/>
      <c r="E324" s="82"/>
      <c r="F324" s="47"/>
      <c r="G324" s="82"/>
      <c r="H324" s="64"/>
      <c r="I324" s="47"/>
      <c r="J324" s="59"/>
    </row>
    <row r="325">
      <c r="A325" s="60"/>
      <c r="B325" s="60"/>
      <c r="C325" s="65"/>
      <c r="D325" s="62"/>
      <c r="E325" s="66"/>
      <c r="F325" s="47"/>
      <c r="G325" s="63"/>
      <c r="H325" s="51"/>
      <c r="I325" s="47"/>
      <c r="J325" s="59"/>
    </row>
    <row r="326">
      <c r="A326" s="47"/>
      <c r="B326" s="47"/>
      <c r="C326" s="62"/>
      <c r="D326" s="62"/>
      <c r="E326" s="82"/>
      <c r="F326" s="47"/>
      <c r="G326" s="82"/>
      <c r="H326" s="64"/>
      <c r="I326" s="47"/>
      <c r="J326" s="59"/>
    </row>
    <row r="327">
      <c r="A327" s="80"/>
      <c r="B327" s="60"/>
      <c r="C327" s="61"/>
      <c r="D327" s="62"/>
      <c r="E327" s="63"/>
      <c r="F327" s="47"/>
      <c r="G327" s="51"/>
      <c r="H327" s="64"/>
      <c r="I327" s="47"/>
      <c r="J327" s="64"/>
    </row>
    <row r="328">
      <c r="A328" s="47"/>
      <c r="B328" s="60"/>
      <c r="C328" s="65"/>
      <c r="D328" s="62"/>
      <c r="E328" s="66"/>
      <c r="F328" s="47"/>
      <c r="G328" s="63"/>
      <c r="H328" s="51"/>
      <c r="I328" s="47"/>
      <c r="J328" s="59"/>
    </row>
    <row r="329">
      <c r="A329" s="47"/>
      <c r="B329" s="47"/>
      <c r="C329" s="62"/>
      <c r="D329" s="62"/>
      <c r="E329" s="82"/>
      <c r="F329" s="47"/>
      <c r="G329" s="82"/>
      <c r="H329" s="64"/>
      <c r="I329" s="47"/>
      <c r="J329" s="59"/>
    </row>
    <row r="330">
      <c r="A330" s="80"/>
      <c r="B330" s="60"/>
      <c r="C330" s="61"/>
      <c r="D330" s="62"/>
      <c r="E330" s="63"/>
      <c r="F330" s="47"/>
      <c r="G330" s="51"/>
      <c r="H330" s="64"/>
      <c r="I330" s="47"/>
      <c r="J330" s="64"/>
    </row>
    <row r="331">
      <c r="A331" s="47"/>
      <c r="B331" s="60"/>
      <c r="C331" s="65"/>
      <c r="D331" s="62"/>
      <c r="E331" s="66"/>
      <c r="F331" s="47"/>
      <c r="G331" s="63"/>
      <c r="H331" s="51"/>
      <c r="I331" s="47"/>
      <c r="J331" s="59"/>
    </row>
    <row r="332">
      <c r="A332" s="47"/>
      <c r="B332" s="60"/>
      <c r="C332" s="65"/>
      <c r="D332" s="62"/>
      <c r="E332" s="66"/>
      <c r="F332" s="47"/>
      <c r="G332" s="63"/>
      <c r="H332" s="51"/>
      <c r="I332" s="47"/>
      <c r="J332" s="59"/>
    </row>
    <row r="333">
      <c r="A333" s="47"/>
      <c r="B333" s="60"/>
      <c r="C333" s="65"/>
      <c r="D333" s="62"/>
      <c r="E333" s="66"/>
      <c r="F333" s="47"/>
      <c r="G333" s="63"/>
      <c r="H333" s="51"/>
      <c r="I333" s="47"/>
      <c r="J333" s="59"/>
    </row>
    <row r="334">
      <c r="A334" s="47"/>
      <c r="B334" s="60"/>
      <c r="C334" s="65"/>
      <c r="D334" s="62"/>
      <c r="E334" s="66"/>
      <c r="F334" s="47"/>
      <c r="G334" s="63"/>
      <c r="H334" s="51"/>
      <c r="I334" s="47"/>
      <c r="J334" s="59"/>
    </row>
    <row r="335">
      <c r="A335" s="47"/>
      <c r="B335" s="47"/>
      <c r="C335" s="62"/>
      <c r="D335" s="62"/>
      <c r="E335" s="82"/>
      <c r="F335" s="47"/>
      <c r="G335" s="82"/>
      <c r="H335" s="64"/>
      <c r="I335" s="47"/>
      <c r="J335" s="59"/>
    </row>
    <row r="336">
      <c r="A336" s="80"/>
      <c r="B336" s="60"/>
      <c r="C336" s="61"/>
      <c r="D336" s="62"/>
      <c r="E336" s="63"/>
      <c r="F336" s="47"/>
      <c r="G336" s="51"/>
      <c r="H336" s="64"/>
      <c r="I336" s="47"/>
      <c r="J336" s="64"/>
    </row>
    <row r="337">
      <c r="A337" s="47"/>
      <c r="B337" s="60"/>
      <c r="C337" s="65"/>
      <c r="D337" s="62"/>
      <c r="E337" s="66"/>
      <c r="F337" s="47"/>
      <c r="G337" s="63"/>
      <c r="H337" s="51"/>
      <c r="I337" s="47"/>
      <c r="J337" s="59"/>
    </row>
    <row r="338">
      <c r="A338" s="47"/>
      <c r="B338" s="60"/>
      <c r="C338" s="65"/>
      <c r="D338" s="62"/>
      <c r="E338" s="66"/>
      <c r="F338" s="47"/>
      <c r="G338" s="63"/>
      <c r="H338" s="51"/>
      <c r="I338" s="47"/>
      <c r="J338" s="59"/>
    </row>
    <row r="339">
      <c r="A339" s="47"/>
      <c r="B339" s="60"/>
      <c r="C339" s="65"/>
      <c r="D339" s="62"/>
      <c r="E339" s="66"/>
      <c r="F339" s="47"/>
      <c r="G339" s="63"/>
      <c r="H339" s="51"/>
      <c r="I339" s="47"/>
      <c r="J339" s="59"/>
    </row>
    <row r="340">
      <c r="A340" s="47"/>
      <c r="B340" s="60"/>
      <c r="C340" s="65"/>
      <c r="D340" s="47"/>
      <c r="E340" s="65"/>
      <c r="F340" s="47"/>
      <c r="G340" s="84"/>
      <c r="H340" s="51"/>
      <c r="I340" s="47"/>
      <c r="J340" s="59"/>
    </row>
    <row r="341">
      <c r="A341" s="47"/>
      <c r="B341" s="47"/>
      <c r="C341" s="62"/>
      <c r="D341" s="62"/>
      <c r="E341" s="82"/>
      <c r="F341" s="47"/>
      <c r="G341" s="82"/>
      <c r="H341" s="63"/>
      <c r="I341" s="47"/>
      <c r="J341" s="59"/>
    </row>
    <row r="342">
      <c r="A342" s="47"/>
      <c r="B342" s="47"/>
      <c r="C342" s="62"/>
      <c r="D342" s="62"/>
      <c r="E342" s="82"/>
      <c r="F342" s="47"/>
      <c r="G342" s="82"/>
      <c r="H342" s="63"/>
      <c r="I342" s="47"/>
      <c r="J342" s="59"/>
    </row>
    <row r="343">
      <c r="A343" s="80"/>
      <c r="B343" s="60"/>
      <c r="C343" s="61"/>
      <c r="D343" s="62"/>
      <c r="E343" s="63"/>
      <c r="F343" s="47"/>
      <c r="G343" s="51"/>
      <c r="H343" s="64"/>
      <c r="I343" s="47"/>
      <c r="J343" s="64"/>
    </row>
    <row r="344">
      <c r="A344" s="47"/>
      <c r="B344" s="60"/>
      <c r="C344" s="65"/>
      <c r="D344" s="62"/>
      <c r="E344" s="66"/>
      <c r="F344" s="47"/>
      <c r="G344" s="63"/>
      <c r="H344" s="51"/>
      <c r="I344" s="47"/>
      <c r="J344" s="59"/>
    </row>
    <row r="345">
      <c r="A345" s="47"/>
      <c r="B345" s="47"/>
      <c r="C345" s="62"/>
      <c r="D345" s="62"/>
      <c r="E345" s="82"/>
      <c r="F345" s="47"/>
      <c r="G345" s="82"/>
      <c r="H345" s="63"/>
      <c r="I345" s="47"/>
      <c r="J345" s="59"/>
    </row>
    <row r="346">
      <c r="A346" s="47"/>
      <c r="B346" s="47"/>
      <c r="C346" s="62"/>
      <c r="D346" s="62"/>
      <c r="E346" s="82"/>
      <c r="F346" s="47"/>
      <c r="G346" s="82"/>
      <c r="H346" s="63"/>
      <c r="I346" s="47"/>
      <c r="J346" s="59"/>
    </row>
    <row r="347">
      <c r="A347" s="80"/>
      <c r="B347" s="47"/>
      <c r="C347" s="61"/>
      <c r="D347" s="62"/>
      <c r="E347" s="63"/>
      <c r="F347" s="47"/>
      <c r="G347" s="51"/>
      <c r="H347" s="64"/>
      <c r="I347" s="47"/>
      <c r="J347" s="64"/>
    </row>
    <row r="348">
      <c r="A348" s="47"/>
      <c r="B348" s="60"/>
      <c r="C348" s="65"/>
      <c r="D348" s="62"/>
      <c r="E348" s="66"/>
      <c r="F348" s="47"/>
      <c r="G348" s="63"/>
      <c r="H348" s="51"/>
      <c r="I348" s="47"/>
      <c r="J348" s="59"/>
    </row>
    <row r="349">
      <c r="A349" s="47"/>
      <c r="B349" s="47"/>
      <c r="C349" s="62"/>
      <c r="D349" s="62"/>
      <c r="E349" s="82"/>
      <c r="F349" s="47"/>
      <c r="G349" s="82"/>
      <c r="H349" s="63"/>
      <c r="I349" s="47"/>
      <c r="J349" s="59"/>
    </row>
    <row r="350">
      <c r="A350" s="47"/>
      <c r="B350" s="47"/>
      <c r="C350" s="62"/>
      <c r="D350" s="62"/>
      <c r="E350" s="62"/>
      <c r="F350" s="82"/>
      <c r="G350" s="47"/>
      <c r="H350" s="63"/>
      <c r="I350" s="47"/>
      <c r="J350" s="59"/>
    </row>
    <row r="351">
      <c r="A351" s="47"/>
      <c r="B351" s="47"/>
      <c r="C351" s="47"/>
      <c r="D351" s="47"/>
      <c r="E351" s="47"/>
      <c r="F351" s="47"/>
      <c r="G351" s="47"/>
      <c r="H351" s="85"/>
      <c r="I351" s="47"/>
      <c r="J351" s="59"/>
    </row>
    <row r="352">
      <c r="A352" s="47"/>
      <c r="B352" s="47"/>
      <c r="C352" s="47"/>
      <c r="D352" s="47"/>
      <c r="E352" s="47"/>
      <c r="F352" s="47"/>
      <c r="G352" s="47"/>
      <c r="H352" s="86"/>
      <c r="I352" s="47"/>
      <c r="J352" s="59"/>
    </row>
    <row r="353">
      <c r="A353" s="80"/>
      <c r="B353" s="60"/>
      <c r="C353" s="60"/>
      <c r="D353" s="47"/>
      <c r="E353" s="86"/>
      <c r="F353" s="47"/>
      <c r="G353" s="64"/>
      <c r="H353" s="64"/>
      <c r="I353" s="47"/>
      <c r="J353" s="64"/>
    </row>
    <row r="354">
      <c r="A354" s="60"/>
      <c r="B354" s="60"/>
      <c r="C354" s="65"/>
      <c r="D354" s="47"/>
      <c r="E354" s="65"/>
      <c r="F354" s="47"/>
      <c r="G354" s="84"/>
      <c r="H354" s="51"/>
      <c r="I354" s="47"/>
      <c r="J354" s="59"/>
    </row>
    <row r="355">
      <c r="A355" s="47"/>
      <c r="B355" s="60"/>
      <c r="C355" s="65"/>
      <c r="D355" s="47"/>
      <c r="E355" s="65"/>
      <c r="F355" s="47"/>
      <c r="G355" s="84"/>
      <c r="H355" s="51"/>
      <c r="I355" s="47"/>
      <c r="J355" s="59"/>
    </row>
    <row r="356">
      <c r="A356" s="60"/>
      <c r="B356" s="60"/>
      <c r="C356" s="65"/>
      <c r="D356" s="47"/>
      <c r="E356" s="65"/>
      <c r="F356" s="47"/>
      <c r="G356" s="84"/>
      <c r="H356" s="51"/>
      <c r="I356" s="47"/>
      <c r="J356" s="59"/>
    </row>
    <row r="357">
      <c r="A357" s="60"/>
      <c r="B357" s="60"/>
      <c r="C357" s="65"/>
      <c r="D357" s="47"/>
      <c r="E357" s="65"/>
      <c r="F357" s="47"/>
      <c r="G357" s="84"/>
      <c r="H357" s="51"/>
      <c r="I357" s="47"/>
      <c r="J357" s="59"/>
    </row>
    <row r="358">
      <c r="A358" s="60"/>
      <c r="B358" s="60"/>
      <c r="C358" s="65"/>
      <c r="D358" s="47"/>
      <c r="E358" s="65"/>
      <c r="F358" s="47"/>
      <c r="G358" s="84"/>
      <c r="H358" s="51"/>
      <c r="I358" s="47"/>
      <c r="J358" s="59"/>
    </row>
    <row r="359">
      <c r="A359" s="47"/>
      <c r="B359" s="60"/>
      <c r="C359" s="65"/>
      <c r="D359" s="47"/>
      <c r="E359" s="65"/>
      <c r="F359" s="47"/>
      <c r="G359" s="84"/>
      <c r="H359" s="51"/>
      <c r="I359" s="47"/>
      <c r="J359" s="59"/>
    </row>
    <row r="360">
      <c r="A360" s="47"/>
      <c r="B360" s="47"/>
      <c r="C360" s="47"/>
      <c r="D360" s="47"/>
      <c r="E360" s="47"/>
      <c r="F360" s="47"/>
      <c r="G360" s="47"/>
      <c r="H360" s="64"/>
      <c r="I360" s="47"/>
      <c r="J360" s="59"/>
    </row>
    <row r="361">
      <c r="A361" s="47"/>
      <c r="B361" s="47"/>
      <c r="C361" s="47"/>
      <c r="D361" s="47"/>
      <c r="E361" s="47"/>
      <c r="F361" s="47"/>
      <c r="G361" s="47"/>
      <c r="H361" s="64"/>
      <c r="I361" s="47"/>
      <c r="J361" s="59"/>
    </row>
    <row r="362">
      <c r="A362" s="80"/>
      <c r="B362" s="60"/>
      <c r="C362" s="60"/>
      <c r="D362" s="47"/>
      <c r="E362" s="86"/>
      <c r="F362" s="47"/>
      <c r="G362" s="64"/>
      <c r="H362" s="64"/>
      <c r="I362" s="47"/>
      <c r="J362" s="64"/>
    </row>
    <row r="363">
      <c r="A363" s="60"/>
      <c r="B363" s="60"/>
      <c r="C363" s="65"/>
      <c r="D363" s="47"/>
      <c r="E363" s="65"/>
      <c r="F363" s="47"/>
      <c r="G363" s="84"/>
      <c r="H363" s="51"/>
      <c r="I363" s="47"/>
      <c r="J363" s="59"/>
    </row>
    <row r="364">
      <c r="A364" s="60"/>
      <c r="B364" s="60"/>
      <c r="C364" s="65"/>
      <c r="D364" s="47"/>
      <c r="E364" s="65"/>
      <c r="F364" s="47"/>
      <c r="G364" s="84"/>
      <c r="H364" s="51"/>
      <c r="I364" s="47"/>
      <c r="J364" s="59"/>
    </row>
    <row r="365">
      <c r="A365" s="60"/>
      <c r="B365" s="60"/>
      <c r="C365" s="65"/>
      <c r="D365" s="47"/>
      <c r="E365" s="65"/>
      <c r="F365" s="47"/>
      <c r="G365" s="84"/>
      <c r="H365" s="51"/>
      <c r="I365" s="47"/>
      <c r="J365" s="59"/>
    </row>
    <row r="366">
      <c r="A366" s="60"/>
      <c r="B366" s="60"/>
      <c r="C366" s="65"/>
      <c r="D366" s="47"/>
      <c r="E366" s="65"/>
      <c r="F366" s="47"/>
      <c r="G366" s="84"/>
      <c r="H366" s="51"/>
      <c r="I366" s="47"/>
      <c r="J366" s="59"/>
    </row>
    <row r="367">
      <c r="A367" s="47"/>
      <c r="B367" s="47"/>
      <c r="C367" s="47"/>
      <c r="D367" s="47"/>
      <c r="E367" s="47"/>
      <c r="F367" s="47"/>
      <c r="G367" s="47"/>
      <c r="H367" s="64"/>
      <c r="I367" s="47"/>
      <c r="J367" s="59"/>
    </row>
    <row r="368">
      <c r="A368" s="47"/>
      <c r="B368" s="47"/>
      <c r="C368" s="47"/>
      <c r="D368" s="47"/>
      <c r="E368" s="47"/>
      <c r="F368" s="47"/>
      <c r="G368" s="47"/>
      <c r="H368" s="64"/>
      <c r="I368" s="47"/>
      <c r="J368" s="59"/>
    </row>
    <row r="369">
      <c r="A369" s="80"/>
      <c r="B369" s="60"/>
      <c r="C369" s="60"/>
      <c r="D369" s="47"/>
      <c r="E369" s="86"/>
      <c r="F369" s="47"/>
      <c r="G369" s="64"/>
      <c r="H369" s="64"/>
      <c r="I369" s="47"/>
      <c r="J369" s="64"/>
    </row>
    <row r="370">
      <c r="A370" s="60"/>
      <c r="B370" s="60"/>
      <c r="C370" s="65"/>
      <c r="D370" s="47"/>
      <c r="E370" s="65"/>
      <c r="F370" s="47"/>
      <c r="G370" s="84"/>
      <c r="H370" s="51"/>
      <c r="I370" s="47"/>
      <c r="J370" s="59"/>
    </row>
    <row r="371">
      <c r="A371" s="60"/>
      <c r="B371" s="60"/>
      <c r="C371" s="65"/>
      <c r="D371" s="47"/>
      <c r="E371" s="65"/>
      <c r="F371" s="47"/>
      <c r="G371" s="84"/>
      <c r="H371" s="51"/>
      <c r="I371" s="47"/>
      <c r="J371" s="59"/>
    </row>
    <row r="372">
      <c r="A372" s="47"/>
      <c r="B372" s="60"/>
      <c r="C372" s="65"/>
      <c r="D372" s="47"/>
      <c r="E372" s="65"/>
      <c r="F372" s="47"/>
      <c r="G372" s="84"/>
      <c r="H372" s="51"/>
      <c r="I372" s="47"/>
      <c r="J372" s="59"/>
    </row>
    <row r="373">
      <c r="A373" s="60"/>
      <c r="B373" s="60"/>
      <c r="C373" s="65"/>
      <c r="D373" s="47"/>
      <c r="E373" s="65"/>
      <c r="F373" s="47"/>
      <c r="G373" s="84"/>
      <c r="H373" s="51"/>
      <c r="I373" s="47"/>
      <c r="J373" s="59"/>
    </row>
    <row r="374">
      <c r="A374" s="60"/>
      <c r="B374" s="60"/>
      <c r="C374" s="65"/>
      <c r="D374" s="47"/>
      <c r="E374" s="65"/>
      <c r="F374" s="47"/>
      <c r="G374" s="84"/>
      <c r="H374" s="51"/>
      <c r="I374" s="47"/>
      <c r="J374" s="59"/>
    </row>
    <row r="375">
      <c r="A375" s="60"/>
      <c r="B375" s="60"/>
      <c r="C375" s="65"/>
      <c r="D375" s="47"/>
      <c r="E375" s="65"/>
      <c r="F375" s="47"/>
      <c r="G375" s="84"/>
      <c r="H375" s="51"/>
      <c r="I375" s="47"/>
      <c r="J375" s="59"/>
    </row>
    <row r="376">
      <c r="A376" s="60"/>
      <c r="B376" s="60"/>
      <c r="C376" s="65"/>
      <c r="D376" s="47"/>
      <c r="E376" s="65"/>
      <c r="F376" s="47"/>
      <c r="G376" s="84"/>
      <c r="H376" s="51"/>
      <c r="I376" s="47"/>
      <c r="J376" s="59"/>
    </row>
    <row r="377">
      <c r="A377" s="47"/>
      <c r="B377" s="60"/>
      <c r="C377" s="65"/>
      <c r="D377" s="47"/>
      <c r="E377" s="65"/>
      <c r="F377" s="47"/>
      <c r="G377" s="84"/>
      <c r="H377" s="51"/>
      <c r="I377" s="47"/>
      <c r="J377" s="59"/>
    </row>
    <row r="378">
      <c r="A378" s="60"/>
      <c r="B378" s="60"/>
      <c r="C378" s="65"/>
      <c r="D378" s="47"/>
      <c r="E378" s="65"/>
      <c r="F378" s="47"/>
      <c r="G378" s="84"/>
      <c r="H378" s="51"/>
      <c r="I378" s="47"/>
      <c r="J378" s="59"/>
    </row>
    <row r="379">
      <c r="A379" s="60"/>
      <c r="B379" s="60"/>
      <c r="C379" s="65"/>
      <c r="D379" s="47"/>
      <c r="E379" s="65"/>
      <c r="F379" s="47"/>
      <c r="G379" s="84"/>
      <c r="H379" s="51"/>
      <c r="I379" s="47"/>
      <c r="J379" s="59"/>
    </row>
    <row r="380">
      <c r="A380" s="60"/>
      <c r="B380" s="60"/>
      <c r="C380" s="65"/>
      <c r="D380" s="47"/>
      <c r="E380" s="65"/>
      <c r="F380" s="47"/>
      <c r="G380" s="84"/>
      <c r="H380" s="51"/>
      <c r="I380" s="47"/>
      <c r="J380" s="59"/>
    </row>
    <row r="381">
      <c r="A381" s="60"/>
      <c r="B381" s="60"/>
      <c r="C381" s="65"/>
      <c r="D381" s="47"/>
      <c r="E381" s="65"/>
      <c r="F381" s="47"/>
      <c r="G381" s="84"/>
      <c r="H381" s="51"/>
      <c r="I381" s="47"/>
      <c r="J381" s="59"/>
    </row>
    <row r="382">
      <c r="A382" s="60"/>
      <c r="B382" s="60"/>
      <c r="C382" s="65"/>
      <c r="D382" s="47"/>
      <c r="E382" s="65"/>
      <c r="F382" s="47"/>
      <c r="G382" s="84"/>
      <c r="H382" s="51"/>
      <c r="I382" s="47"/>
      <c r="J382" s="59"/>
    </row>
    <row r="383">
      <c r="A383" s="47"/>
      <c r="B383" s="60"/>
      <c r="C383" s="65"/>
      <c r="D383" s="47"/>
      <c r="E383" s="65"/>
      <c r="F383" s="47"/>
      <c r="G383" s="84"/>
      <c r="H383" s="51"/>
      <c r="I383" s="47"/>
      <c r="J383" s="59"/>
    </row>
    <row r="384">
      <c r="A384" s="47"/>
      <c r="B384" s="60"/>
      <c r="C384" s="65"/>
      <c r="D384" s="47"/>
      <c r="E384" s="65"/>
      <c r="F384" s="47"/>
      <c r="G384" s="84"/>
      <c r="H384" s="51"/>
      <c r="I384" s="47"/>
      <c r="J384" s="59"/>
    </row>
    <row r="385">
      <c r="A385" s="47"/>
      <c r="B385" s="47"/>
      <c r="C385" s="47"/>
      <c r="D385" s="47"/>
      <c r="E385" s="47"/>
      <c r="F385" s="47"/>
      <c r="G385" s="47"/>
      <c r="H385" s="64"/>
      <c r="I385" s="47"/>
      <c r="J385" s="59"/>
    </row>
    <row r="386">
      <c r="A386" s="47"/>
      <c r="B386" s="47"/>
      <c r="C386" s="47"/>
      <c r="D386" s="47"/>
      <c r="E386" s="47"/>
      <c r="F386" s="47"/>
      <c r="G386" s="47"/>
      <c r="H386" s="64"/>
      <c r="I386" s="47"/>
      <c r="J386" s="59"/>
    </row>
    <row r="387">
      <c r="A387" s="47"/>
      <c r="B387" s="47"/>
      <c r="C387" s="47"/>
      <c r="D387" s="47"/>
      <c r="E387" s="47"/>
      <c r="F387" s="47"/>
      <c r="G387" s="47"/>
      <c r="H387" s="64"/>
      <c r="I387" s="47"/>
      <c r="J387" s="59"/>
    </row>
    <row r="388">
      <c r="A388" s="80"/>
      <c r="B388" s="60"/>
      <c r="C388" s="60"/>
      <c r="D388" s="47"/>
      <c r="E388" s="86"/>
      <c r="F388" s="47"/>
      <c r="G388" s="64"/>
      <c r="H388" s="64"/>
      <c r="I388" s="47"/>
      <c r="J388" s="64"/>
    </row>
    <row r="389">
      <c r="A389" s="47"/>
      <c r="B389" s="60"/>
      <c r="C389" s="65"/>
      <c r="D389" s="47"/>
      <c r="E389" s="65"/>
      <c r="F389" s="47"/>
      <c r="G389" s="84"/>
      <c r="H389" s="51"/>
      <c r="I389" s="47"/>
      <c r="J389" s="59"/>
    </row>
    <row r="390">
      <c r="A390" s="47"/>
      <c r="B390" s="60"/>
      <c r="C390" s="65"/>
      <c r="D390" s="47"/>
      <c r="E390" s="65"/>
      <c r="F390" s="47"/>
      <c r="G390" s="84"/>
      <c r="H390" s="51"/>
      <c r="I390" s="47"/>
      <c r="J390" s="59"/>
    </row>
    <row r="391">
      <c r="A391" s="47"/>
      <c r="B391" s="60"/>
      <c r="C391" s="65"/>
      <c r="D391" s="47"/>
      <c r="E391" s="65"/>
      <c r="F391" s="47"/>
      <c r="G391" s="84"/>
      <c r="H391" s="51"/>
      <c r="I391" s="47"/>
      <c r="J391" s="59"/>
    </row>
    <row r="392">
      <c r="A392" s="47"/>
      <c r="B392" s="60"/>
      <c r="C392" s="65"/>
      <c r="D392" s="47"/>
      <c r="E392" s="65"/>
      <c r="F392" s="47"/>
      <c r="G392" s="84"/>
      <c r="H392" s="51"/>
      <c r="I392" s="47"/>
      <c r="J392" s="59"/>
    </row>
    <row r="393">
      <c r="A393" s="47"/>
      <c r="B393" s="60"/>
      <c r="C393" s="65"/>
      <c r="D393" s="47"/>
      <c r="E393" s="65"/>
      <c r="F393" s="47"/>
      <c r="G393" s="84"/>
      <c r="H393" s="51"/>
      <c r="I393" s="47"/>
      <c r="J393" s="59"/>
    </row>
    <row r="394">
      <c r="A394" s="47"/>
      <c r="B394" s="60"/>
      <c r="C394" s="65"/>
      <c r="D394" s="47"/>
      <c r="E394" s="65"/>
      <c r="F394" s="47"/>
      <c r="G394" s="84"/>
      <c r="H394" s="51"/>
      <c r="I394" s="47"/>
      <c r="J394" s="59"/>
    </row>
    <row r="395">
      <c r="A395" s="47"/>
      <c r="B395" s="60"/>
      <c r="C395" s="65"/>
      <c r="D395" s="47"/>
      <c r="E395" s="65"/>
      <c r="F395" s="47"/>
      <c r="G395" s="84"/>
      <c r="H395" s="51"/>
      <c r="I395" s="47"/>
      <c r="J395" s="59"/>
    </row>
    <row r="396">
      <c r="A396" s="47"/>
      <c r="B396" s="60"/>
      <c r="C396" s="65"/>
      <c r="D396" s="47"/>
      <c r="E396" s="65"/>
      <c r="F396" s="47"/>
      <c r="G396" s="84"/>
      <c r="H396" s="51"/>
      <c r="I396" s="47"/>
      <c r="J396" s="59"/>
    </row>
    <row r="397">
      <c r="A397" s="47"/>
      <c r="B397" s="47"/>
      <c r="C397" s="47"/>
      <c r="D397" s="47"/>
      <c r="E397" s="47"/>
      <c r="F397" s="47"/>
      <c r="G397" s="47"/>
      <c r="H397" s="64"/>
      <c r="I397" s="47"/>
      <c r="J397" s="59"/>
    </row>
    <row r="398">
      <c r="A398" s="47"/>
      <c r="B398" s="47"/>
      <c r="C398" s="47"/>
      <c r="D398" s="47"/>
      <c r="E398" s="47"/>
      <c r="F398" s="47"/>
      <c r="G398" s="47"/>
      <c r="H398" s="64"/>
      <c r="I398" s="47"/>
      <c r="J398" s="59"/>
    </row>
    <row r="399">
      <c r="A399" s="80"/>
      <c r="B399" s="60"/>
      <c r="C399" s="60"/>
      <c r="D399" s="47"/>
      <c r="E399" s="86"/>
      <c r="F399" s="47"/>
      <c r="G399" s="64"/>
      <c r="H399" s="64"/>
      <c r="I399" s="47"/>
      <c r="J399" s="64"/>
    </row>
    <row r="400">
      <c r="A400" s="47"/>
      <c r="B400" s="60"/>
      <c r="C400" s="65"/>
      <c r="D400" s="47"/>
      <c r="E400" s="65"/>
      <c r="F400" s="47"/>
      <c r="G400" s="84"/>
      <c r="H400" s="51"/>
      <c r="I400" s="47"/>
      <c r="J400" s="59"/>
    </row>
    <row r="401">
      <c r="A401" s="47"/>
      <c r="B401" s="60"/>
      <c r="C401" s="65"/>
      <c r="D401" s="47"/>
      <c r="E401" s="65"/>
      <c r="F401" s="47"/>
      <c r="G401" s="84"/>
      <c r="H401" s="51"/>
      <c r="I401" s="47"/>
      <c r="J401" s="59"/>
    </row>
    <row r="402">
      <c r="A402" s="47"/>
      <c r="B402" s="60"/>
      <c r="C402" s="65"/>
      <c r="D402" s="47"/>
      <c r="E402" s="65"/>
      <c r="F402" s="47"/>
      <c r="G402" s="84"/>
      <c r="H402" s="51"/>
      <c r="I402" s="47"/>
      <c r="J402" s="59"/>
    </row>
    <row r="403">
      <c r="A403" s="60"/>
      <c r="B403" s="60"/>
      <c r="C403" s="65"/>
      <c r="D403" s="47"/>
      <c r="E403" s="65"/>
      <c r="F403" s="47"/>
      <c r="G403" s="84"/>
      <c r="H403" s="51"/>
      <c r="I403" s="47"/>
      <c r="J403" s="59"/>
    </row>
    <row r="404">
      <c r="A404" s="60"/>
      <c r="B404" s="60"/>
      <c r="C404" s="65"/>
      <c r="D404" s="47"/>
      <c r="E404" s="65"/>
      <c r="F404" s="47"/>
      <c r="G404" s="84"/>
      <c r="H404" s="51"/>
      <c r="I404" s="47"/>
      <c r="J404" s="59"/>
    </row>
    <row r="405">
      <c r="A405" s="60"/>
      <c r="B405" s="60"/>
      <c r="C405" s="65"/>
      <c r="D405" s="47"/>
      <c r="E405" s="65"/>
      <c r="F405" s="47"/>
      <c r="G405" s="84"/>
      <c r="H405" s="51"/>
      <c r="I405" s="47"/>
      <c r="J405" s="59"/>
    </row>
    <row r="406">
      <c r="A406" s="60"/>
      <c r="B406" s="60"/>
      <c r="C406" s="65"/>
      <c r="D406" s="47"/>
      <c r="E406" s="65"/>
      <c r="F406" s="47"/>
      <c r="G406" s="84"/>
      <c r="H406" s="51"/>
      <c r="I406" s="47"/>
      <c r="J406" s="59"/>
    </row>
    <row r="407">
      <c r="A407" s="47"/>
      <c r="B407" s="60"/>
      <c r="C407" s="65"/>
      <c r="D407" s="47"/>
      <c r="E407" s="65"/>
      <c r="F407" s="47"/>
      <c r="G407" s="84"/>
      <c r="H407" s="51"/>
      <c r="I407" s="47"/>
      <c r="J407" s="59"/>
    </row>
    <row r="408">
      <c r="A408" s="47"/>
      <c r="B408" s="60"/>
      <c r="C408" s="65"/>
      <c r="D408" s="47"/>
      <c r="E408" s="65"/>
      <c r="F408" s="47"/>
      <c r="G408" s="84"/>
      <c r="H408" s="51"/>
      <c r="I408" s="47"/>
      <c r="J408" s="59"/>
    </row>
    <row r="409">
      <c r="A409" s="47"/>
      <c r="B409" s="60"/>
      <c r="C409" s="65"/>
      <c r="D409" s="47"/>
      <c r="E409" s="65"/>
      <c r="F409" s="47"/>
      <c r="G409" s="84"/>
      <c r="H409" s="51"/>
      <c r="I409" s="47"/>
      <c r="J409" s="59"/>
    </row>
    <row r="410">
      <c r="A410" s="47"/>
      <c r="B410" s="60"/>
      <c r="C410" s="65"/>
      <c r="D410" s="47"/>
      <c r="E410" s="65"/>
      <c r="F410" s="47"/>
      <c r="G410" s="84"/>
      <c r="H410" s="51"/>
      <c r="I410" s="47"/>
      <c r="J410" s="59"/>
    </row>
    <row r="411">
      <c r="A411" s="47"/>
      <c r="B411" s="60"/>
      <c r="C411" s="65"/>
      <c r="D411" s="47"/>
      <c r="E411" s="65"/>
      <c r="F411" s="47"/>
      <c r="G411" s="84"/>
      <c r="H411" s="51"/>
      <c r="I411" s="47"/>
      <c r="J411" s="59"/>
    </row>
    <row r="412">
      <c r="A412" s="60"/>
      <c r="B412" s="60"/>
      <c r="C412" s="65"/>
      <c r="D412" s="47"/>
      <c r="E412" s="65"/>
      <c r="F412" s="47"/>
      <c r="G412" s="84"/>
      <c r="H412" s="51"/>
      <c r="I412" s="47"/>
      <c r="J412" s="59"/>
    </row>
    <row r="413">
      <c r="A413" s="47"/>
      <c r="B413" s="60"/>
      <c r="C413" s="65"/>
      <c r="D413" s="47"/>
      <c r="E413" s="65"/>
      <c r="F413" s="47"/>
      <c r="G413" s="84"/>
      <c r="H413" s="51"/>
      <c r="I413" s="47"/>
      <c r="J413" s="59"/>
    </row>
    <row r="414">
      <c r="A414" s="47"/>
      <c r="B414" s="60"/>
      <c r="C414" s="65"/>
      <c r="D414" s="47"/>
      <c r="E414" s="65"/>
      <c r="F414" s="47"/>
      <c r="G414" s="84"/>
      <c r="H414" s="51"/>
      <c r="I414" s="47"/>
      <c r="J414" s="59"/>
    </row>
    <row r="415">
      <c r="A415" s="60"/>
      <c r="B415" s="60"/>
      <c r="C415" s="65"/>
      <c r="D415" s="47"/>
      <c r="E415" s="65"/>
      <c r="F415" s="47"/>
      <c r="G415" s="84"/>
      <c r="H415" s="51"/>
      <c r="I415" s="47"/>
      <c r="J415" s="59"/>
    </row>
    <row r="416">
      <c r="A416" s="47"/>
      <c r="B416" s="60"/>
      <c r="C416" s="65"/>
      <c r="D416" s="47"/>
      <c r="E416" s="65"/>
      <c r="F416" s="47"/>
      <c r="G416" s="84"/>
      <c r="H416" s="51"/>
      <c r="I416" s="47"/>
      <c r="J416" s="59"/>
    </row>
    <row r="417">
      <c r="A417" s="47"/>
      <c r="B417" s="60"/>
      <c r="C417" s="65"/>
      <c r="D417" s="47"/>
      <c r="E417" s="65"/>
      <c r="F417" s="47"/>
      <c r="G417" s="84"/>
      <c r="H417" s="51"/>
      <c r="I417" s="47"/>
      <c r="J417" s="59"/>
    </row>
    <row r="418">
      <c r="A418" s="47"/>
      <c r="B418" s="60"/>
      <c r="C418" s="65"/>
      <c r="D418" s="47"/>
      <c r="E418" s="65"/>
      <c r="F418" s="47"/>
      <c r="G418" s="84"/>
      <c r="H418" s="51"/>
      <c r="I418" s="47"/>
      <c r="J418" s="59"/>
    </row>
    <row r="419">
      <c r="A419" s="47"/>
      <c r="B419" s="60"/>
      <c r="C419" s="65"/>
      <c r="D419" s="47"/>
      <c r="E419" s="65"/>
      <c r="F419" s="47"/>
      <c r="G419" s="84"/>
      <c r="H419" s="51"/>
      <c r="I419" s="47"/>
      <c r="J419" s="59"/>
    </row>
    <row r="420">
      <c r="A420" s="47"/>
      <c r="B420" s="60"/>
      <c r="C420" s="65"/>
      <c r="D420" s="47"/>
      <c r="E420" s="65"/>
      <c r="F420" s="47"/>
      <c r="G420" s="84"/>
      <c r="H420" s="51"/>
      <c r="I420" s="47"/>
      <c r="J420" s="59"/>
    </row>
    <row r="421">
      <c r="A421" s="47"/>
      <c r="B421" s="60"/>
      <c r="C421" s="65"/>
      <c r="D421" s="47"/>
      <c r="E421" s="65"/>
      <c r="F421" s="47"/>
      <c r="G421" s="84"/>
      <c r="H421" s="51"/>
      <c r="I421" s="47"/>
      <c r="J421" s="59"/>
    </row>
    <row r="422">
      <c r="A422" s="47"/>
      <c r="B422" s="60"/>
      <c r="C422" s="65"/>
      <c r="D422" s="47"/>
      <c r="E422" s="65"/>
      <c r="F422" s="47"/>
      <c r="G422" s="84"/>
      <c r="H422" s="51"/>
      <c r="I422" s="47"/>
      <c r="J422" s="59"/>
    </row>
    <row r="423">
      <c r="A423" s="60"/>
      <c r="B423" s="60"/>
      <c r="C423" s="65"/>
      <c r="D423" s="47"/>
      <c r="E423" s="65"/>
      <c r="F423" s="47"/>
      <c r="G423" s="84"/>
      <c r="H423" s="51"/>
      <c r="I423" s="47"/>
      <c r="J423" s="59"/>
    </row>
    <row r="424">
      <c r="A424" s="47"/>
      <c r="B424" s="60"/>
      <c r="C424" s="65"/>
      <c r="D424" s="47"/>
      <c r="E424" s="65"/>
      <c r="F424" s="47"/>
      <c r="G424" s="84"/>
      <c r="H424" s="51"/>
      <c r="I424" s="47"/>
      <c r="J424" s="59"/>
    </row>
    <row r="425">
      <c r="A425" s="47"/>
      <c r="B425" s="60"/>
      <c r="C425" s="65"/>
      <c r="D425" s="47"/>
      <c r="E425" s="65"/>
      <c r="F425" s="47"/>
      <c r="G425" s="84"/>
      <c r="H425" s="51"/>
      <c r="I425" s="47"/>
      <c r="J425" s="59"/>
    </row>
    <row r="426">
      <c r="A426" s="47"/>
      <c r="B426" s="60"/>
      <c r="C426" s="65"/>
      <c r="D426" s="47"/>
      <c r="E426" s="65"/>
      <c r="F426" s="47"/>
      <c r="G426" s="84"/>
      <c r="H426" s="51"/>
      <c r="I426" s="47"/>
      <c r="J426" s="59"/>
    </row>
    <row r="427">
      <c r="A427" s="47"/>
      <c r="B427" s="60"/>
      <c r="C427" s="65"/>
      <c r="D427" s="47"/>
      <c r="E427" s="65"/>
      <c r="F427" s="47"/>
      <c r="G427" s="84"/>
      <c r="H427" s="51"/>
      <c r="I427" s="47"/>
      <c r="J427" s="59"/>
    </row>
    <row r="428">
      <c r="A428" s="47"/>
      <c r="B428" s="60"/>
      <c r="C428" s="65"/>
      <c r="D428" s="47"/>
      <c r="E428" s="65"/>
      <c r="F428" s="47"/>
      <c r="G428" s="84"/>
      <c r="H428" s="51"/>
      <c r="I428" s="47"/>
      <c r="J428" s="59"/>
    </row>
    <row r="429">
      <c r="A429" s="60"/>
      <c r="B429" s="60"/>
      <c r="C429" s="65"/>
      <c r="D429" s="47"/>
      <c r="E429" s="65"/>
      <c r="F429" s="47"/>
      <c r="G429" s="84"/>
      <c r="H429" s="51"/>
      <c r="I429" s="47"/>
      <c r="J429" s="59"/>
    </row>
    <row r="430">
      <c r="A430" s="60"/>
      <c r="B430" s="60"/>
      <c r="C430" s="65"/>
      <c r="D430" s="47"/>
      <c r="E430" s="65"/>
      <c r="F430" s="47"/>
      <c r="G430" s="84"/>
      <c r="H430" s="51"/>
      <c r="I430" s="47"/>
      <c r="J430" s="59"/>
    </row>
    <row r="431">
      <c r="A431" s="47"/>
      <c r="B431" s="60"/>
      <c r="C431" s="65"/>
      <c r="D431" s="47"/>
      <c r="E431" s="65"/>
      <c r="F431" s="47"/>
      <c r="G431" s="84"/>
      <c r="H431" s="51"/>
      <c r="I431" s="47"/>
      <c r="J431" s="59"/>
    </row>
    <row r="432">
      <c r="A432" s="60"/>
      <c r="B432" s="60"/>
      <c r="C432" s="65"/>
      <c r="D432" s="47"/>
      <c r="E432" s="65"/>
      <c r="F432" s="47"/>
      <c r="G432" s="84"/>
      <c r="H432" s="51"/>
      <c r="I432" s="47"/>
      <c r="J432" s="59"/>
    </row>
    <row r="433">
      <c r="A433" s="47"/>
      <c r="B433" s="60"/>
      <c r="C433" s="65"/>
      <c r="D433" s="47"/>
      <c r="E433" s="65"/>
      <c r="F433" s="47"/>
      <c r="G433" s="84"/>
      <c r="H433" s="51"/>
      <c r="I433" s="47"/>
      <c r="J433" s="59"/>
    </row>
    <row r="434">
      <c r="A434" s="47"/>
      <c r="B434" s="60"/>
      <c r="C434" s="65"/>
      <c r="D434" s="47"/>
      <c r="E434" s="65"/>
      <c r="F434" s="47"/>
      <c r="G434" s="84"/>
      <c r="H434" s="51"/>
      <c r="I434" s="47"/>
      <c r="J434" s="59"/>
    </row>
    <row r="435">
      <c r="A435" s="47"/>
      <c r="B435" s="60"/>
      <c r="C435" s="65"/>
      <c r="D435" s="47"/>
      <c r="E435" s="65"/>
      <c r="F435" s="47"/>
      <c r="G435" s="84"/>
      <c r="H435" s="51"/>
      <c r="I435" s="47"/>
      <c r="J435" s="59"/>
    </row>
    <row r="436">
      <c r="A436" s="47"/>
      <c r="B436" s="60"/>
      <c r="C436" s="65"/>
      <c r="D436" s="47"/>
      <c r="E436" s="65"/>
      <c r="F436" s="47"/>
      <c r="G436" s="84"/>
      <c r="H436" s="51"/>
      <c r="I436" s="47"/>
      <c r="J436" s="59"/>
    </row>
    <row r="437">
      <c r="A437" s="47"/>
      <c r="B437" s="60"/>
      <c r="C437" s="65"/>
      <c r="D437" s="47"/>
      <c r="E437" s="65"/>
      <c r="F437" s="47"/>
      <c r="G437" s="84"/>
      <c r="H437" s="51"/>
      <c r="I437" s="47"/>
      <c r="J437" s="59"/>
    </row>
    <row r="438">
      <c r="A438" s="60"/>
      <c r="B438" s="60"/>
      <c r="C438" s="65"/>
      <c r="D438" s="47"/>
      <c r="E438" s="65"/>
      <c r="F438" s="47"/>
      <c r="G438" s="84"/>
      <c r="H438" s="51"/>
      <c r="I438" s="47"/>
      <c r="J438" s="59"/>
    </row>
    <row r="439">
      <c r="A439" s="60"/>
      <c r="B439" s="60"/>
      <c r="C439" s="65"/>
      <c r="D439" s="47"/>
      <c r="E439" s="65"/>
      <c r="F439" s="47"/>
      <c r="G439" s="84"/>
      <c r="H439" s="51"/>
      <c r="I439" s="47"/>
      <c r="J439" s="59"/>
    </row>
    <row r="440">
      <c r="A440" s="60"/>
      <c r="B440" s="60"/>
      <c r="C440" s="65"/>
      <c r="D440" s="47"/>
      <c r="E440" s="65"/>
      <c r="F440" s="47"/>
      <c r="G440" s="84"/>
      <c r="H440" s="51"/>
      <c r="I440" s="47"/>
      <c r="J440" s="59"/>
    </row>
    <row r="441">
      <c r="A441" s="47"/>
      <c r="B441" s="60"/>
      <c r="C441" s="65"/>
      <c r="D441" s="47"/>
      <c r="E441" s="65"/>
      <c r="F441" s="47"/>
      <c r="G441" s="84"/>
      <c r="H441" s="51"/>
      <c r="I441" s="47"/>
      <c r="J441" s="59"/>
    </row>
    <row r="442">
      <c r="A442" s="47"/>
      <c r="B442" s="60"/>
      <c r="C442" s="65"/>
      <c r="D442" s="47"/>
      <c r="E442" s="65"/>
      <c r="F442" s="47"/>
      <c r="G442" s="84"/>
      <c r="H442" s="51"/>
      <c r="I442" s="47"/>
      <c r="J442" s="59"/>
    </row>
    <row r="443">
      <c r="A443" s="60"/>
      <c r="B443" s="60"/>
      <c r="C443" s="65"/>
      <c r="D443" s="47"/>
      <c r="E443" s="65"/>
      <c r="F443" s="47"/>
      <c r="G443" s="84"/>
      <c r="H443" s="51"/>
      <c r="I443" s="47"/>
      <c r="J443" s="59"/>
    </row>
    <row r="444">
      <c r="A444" s="60"/>
      <c r="B444" s="60"/>
      <c r="C444" s="65"/>
      <c r="D444" s="47"/>
      <c r="E444" s="65"/>
      <c r="F444" s="47"/>
      <c r="G444" s="84"/>
      <c r="H444" s="51"/>
      <c r="I444" s="47"/>
      <c r="J444" s="59"/>
    </row>
    <row r="445">
      <c r="A445" s="60"/>
      <c r="B445" s="60"/>
      <c r="C445" s="65"/>
      <c r="D445" s="47"/>
      <c r="E445" s="65"/>
      <c r="F445" s="47"/>
      <c r="G445" s="84"/>
      <c r="H445" s="51"/>
      <c r="I445" s="47"/>
      <c r="J445" s="59"/>
    </row>
    <row r="446">
      <c r="A446" s="60"/>
      <c r="B446" s="60"/>
      <c r="C446" s="65"/>
      <c r="D446" s="47"/>
      <c r="E446" s="65"/>
      <c r="F446" s="47"/>
      <c r="G446" s="84"/>
      <c r="H446" s="51"/>
      <c r="I446" s="47"/>
      <c r="J446" s="59"/>
    </row>
    <row r="447">
      <c r="A447" s="47"/>
      <c r="B447" s="60"/>
      <c r="C447" s="65"/>
      <c r="D447" s="47"/>
      <c r="E447" s="65"/>
      <c r="F447" s="47"/>
      <c r="G447" s="84"/>
      <c r="H447" s="51"/>
      <c r="I447" s="47"/>
      <c r="J447" s="59"/>
    </row>
    <row r="448">
      <c r="A448" s="60"/>
      <c r="B448" s="60"/>
      <c r="C448" s="65"/>
      <c r="D448" s="47"/>
      <c r="E448" s="65"/>
      <c r="F448" s="47"/>
      <c r="G448" s="84"/>
      <c r="H448" s="51"/>
      <c r="I448" s="47"/>
      <c r="J448" s="59"/>
    </row>
    <row r="449">
      <c r="A449" s="47"/>
      <c r="B449" s="60"/>
      <c r="C449" s="65"/>
      <c r="D449" s="47"/>
      <c r="E449" s="65"/>
      <c r="F449" s="47"/>
      <c r="G449" s="84"/>
      <c r="H449" s="51"/>
      <c r="I449" s="47"/>
      <c r="J449" s="59"/>
    </row>
    <row r="450">
      <c r="A450" s="47"/>
      <c r="B450" s="60"/>
      <c r="C450" s="65"/>
      <c r="D450" s="47"/>
      <c r="E450" s="65"/>
      <c r="F450" s="47"/>
      <c r="G450" s="84"/>
      <c r="H450" s="51"/>
      <c r="I450" s="47"/>
      <c r="J450" s="59"/>
    </row>
    <row r="451">
      <c r="A451" s="47"/>
      <c r="B451" s="60"/>
      <c r="C451" s="65"/>
      <c r="D451" s="47"/>
      <c r="E451" s="65"/>
      <c r="F451" s="47"/>
      <c r="G451" s="84"/>
      <c r="H451" s="51"/>
      <c r="I451" s="47"/>
      <c r="J451" s="59"/>
    </row>
    <row r="452">
      <c r="A452" s="47"/>
      <c r="B452" s="60"/>
      <c r="C452" s="65"/>
      <c r="D452" s="47"/>
      <c r="E452" s="65"/>
      <c r="F452" s="47"/>
      <c r="G452" s="84"/>
      <c r="H452" s="51"/>
      <c r="I452" s="47"/>
      <c r="J452" s="59"/>
    </row>
    <row r="453">
      <c r="A453" s="60"/>
      <c r="B453" s="60"/>
      <c r="C453" s="65"/>
      <c r="D453" s="47"/>
      <c r="E453" s="65"/>
      <c r="F453" s="47"/>
      <c r="G453" s="84"/>
      <c r="H453" s="51"/>
      <c r="I453" s="47"/>
      <c r="J453" s="59"/>
    </row>
    <row r="454">
      <c r="A454" s="47"/>
      <c r="B454" s="60"/>
      <c r="C454" s="65"/>
      <c r="D454" s="47"/>
      <c r="E454" s="65"/>
      <c r="F454" s="47"/>
      <c r="G454" s="84"/>
      <c r="H454" s="51"/>
      <c r="I454" s="47"/>
      <c r="J454" s="59"/>
    </row>
    <row r="455">
      <c r="A455" s="47"/>
      <c r="B455" s="60"/>
      <c r="C455" s="65"/>
      <c r="D455" s="47"/>
      <c r="E455" s="65"/>
      <c r="F455" s="47"/>
      <c r="G455" s="84"/>
      <c r="H455" s="51"/>
      <c r="I455" s="47"/>
      <c r="J455" s="59"/>
    </row>
    <row r="456">
      <c r="A456" s="47"/>
      <c r="B456" s="60"/>
      <c r="C456" s="65"/>
      <c r="D456" s="47"/>
      <c r="E456" s="65"/>
      <c r="F456" s="47"/>
      <c r="G456" s="84"/>
      <c r="H456" s="51"/>
      <c r="I456" s="47"/>
      <c r="J456" s="59"/>
    </row>
    <row r="457">
      <c r="A457" s="60"/>
      <c r="B457" s="60"/>
      <c r="C457" s="65"/>
      <c r="D457" s="47"/>
      <c r="E457" s="65"/>
      <c r="F457" s="47"/>
      <c r="G457" s="84"/>
      <c r="H457" s="51"/>
      <c r="I457" s="47"/>
      <c r="J457" s="59"/>
    </row>
    <row r="458">
      <c r="A458" s="60"/>
      <c r="B458" s="60"/>
      <c r="C458" s="65"/>
      <c r="D458" s="47"/>
      <c r="E458" s="65"/>
      <c r="F458" s="47"/>
      <c r="G458" s="84"/>
      <c r="H458" s="51"/>
      <c r="I458" s="47"/>
      <c r="J458" s="59"/>
    </row>
    <row r="459">
      <c r="A459" s="47"/>
      <c r="B459" s="60"/>
      <c r="C459" s="65"/>
      <c r="D459" s="47"/>
      <c r="E459" s="65"/>
      <c r="F459" s="47"/>
      <c r="G459" s="84"/>
      <c r="H459" s="51"/>
      <c r="I459" s="47"/>
      <c r="J459" s="59"/>
    </row>
    <row r="460">
      <c r="A460" s="60"/>
      <c r="B460" s="60"/>
      <c r="C460" s="65"/>
      <c r="D460" s="47"/>
      <c r="E460" s="65"/>
      <c r="F460" s="47"/>
      <c r="G460" s="84"/>
      <c r="H460" s="51"/>
      <c r="I460" s="47"/>
      <c r="J460" s="59"/>
    </row>
    <row r="461">
      <c r="A461" s="47"/>
      <c r="B461" s="60"/>
      <c r="C461" s="65"/>
      <c r="D461" s="47"/>
      <c r="E461" s="65"/>
      <c r="F461" s="47"/>
      <c r="G461" s="84"/>
      <c r="H461" s="51"/>
      <c r="I461" s="47"/>
      <c r="J461" s="59"/>
    </row>
    <row r="462">
      <c r="A462" s="47"/>
      <c r="B462" s="60"/>
      <c r="C462" s="65"/>
      <c r="D462" s="47"/>
      <c r="E462" s="65"/>
      <c r="F462" s="47"/>
      <c r="G462" s="84"/>
      <c r="H462" s="51"/>
      <c r="I462" s="47"/>
      <c r="J462" s="59"/>
    </row>
    <row r="463">
      <c r="A463" s="47"/>
      <c r="B463" s="60"/>
      <c r="C463" s="65"/>
      <c r="D463" s="47"/>
      <c r="E463" s="65"/>
      <c r="F463" s="47"/>
      <c r="G463" s="84"/>
      <c r="H463" s="51"/>
      <c r="I463" s="47"/>
      <c r="J463" s="59"/>
    </row>
    <row r="464">
      <c r="A464" s="60"/>
      <c r="B464" s="60"/>
      <c r="C464" s="65"/>
      <c r="D464" s="47"/>
      <c r="E464" s="65"/>
      <c r="F464" s="47"/>
      <c r="G464" s="84"/>
      <c r="H464" s="51"/>
      <c r="I464" s="47"/>
      <c r="J464" s="59"/>
    </row>
    <row r="465">
      <c r="A465" s="47"/>
      <c r="B465" s="60"/>
      <c r="C465" s="65"/>
      <c r="D465" s="47"/>
      <c r="E465" s="65"/>
      <c r="F465" s="47"/>
      <c r="G465" s="84"/>
      <c r="H465" s="51"/>
      <c r="I465" s="47"/>
      <c r="J465" s="59"/>
    </row>
    <row r="466">
      <c r="A466" s="47"/>
      <c r="B466" s="87"/>
      <c r="C466" s="88"/>
      <c r="D466" s="47"/>
      <c r="E466" s="88"/>
      <c r="F466" s="47"/>
      <c r="G466" s="89"/>
      <c r="H466" s="90"/>
      <c r="I466" s="47"/>
      <c r="J466" s="59"/>
    </row>
    <row r="467">
      <c r="A467" s="47"/>
      <c r="B467" s="47"/>
      <c r="C467" s="47"/>
      <c r="D467" s="47"/>
      <c r="E467" s="47"/>
      <c r="F467" s="47"/>
      <c r="G467" s="47"/>
      <c r="H467" s="64"/>
      <c r="I467" s="47"/>
      <c r="J467" s="59"/>
    </row>
    <row r="468">
      <c r="A468" s="47"/>
      <c r="B468" s="47"/>
      <c r="C468" s="47"/>
      <c r="D468" s="47"/>
      <c r="E468" s="47"/>
      <c r="F468" s="47"/>
      <c r="G468" s="47"/>
      <c r="H468" s="64"/>
      <c r="I468" s="47"/>
      <c r="J468" s="59"/>
    </row>
    <row r="469">
      <c r="A469" s="80"/>
      <c r="B469" s="60"/>
      <c r="C469" s="60"/>
      <c r="D469" s="47"/>
      <c r="E469" s="86"/>
      <c r="F469" s="47"/>
      <c r="G469" s="64"/>
      <c r="H469" s="64"/>
      <c r="I469" s="47"/>
      <c r="J469" s="64"/>
    </row>
    <row r="470">
      <c r="A470" s="60"/>
      <c r="B470" s="60"/>
      <c r="C470" s="65"/>
      <c r="D470" s="47"/>
      <c r="E470" s="65"/>
      <c r="F470" s="47"/>
      <c r="G470" s="84"/>
      <c r="H470" s="51"/>
      <c r="I470" s="47"/>
      <c r="J470" s="59"/>
    </row>
    <row r="471">
      <c r="A471" s="60"/>
      <c r="B471" s="60"/>
      <c r="C471" s="65"/>
      <c r="D471" s="47"/>
      <c r="E471" s="65"/>
      <c r="F471" s="47"/>
      <c r="G471" s="84"/>
      <c r="H471" s="51"/>
      <c r="I471" s="47"/>
      <c r="J471" s="59"/>
    </row>
    <row r="472">
      <c r="A472" s="60"/>
      <c r="B472" s="60"/>
      <c r="C472" s="65"/>
      <c r="D472" s="47"/>
      <c r="E472" s="65"/>
      <c r="F472" s="47"/>
      <c r="G472" s="84"/>
      <c r="H472" s="51"/>
      <c r="I472" s="47"/>
      <c r="J472" s="59"/>
    </row>
    <row r="473">
      <c r="A473" s="47"/>
      <c r="B473" s="60"/>
      <c r="C473" s="65"/>
      <c r="D473" s="47"/>
      <c r="E473" s="65"/>
      <c r="F473" s="47"/>
      <c r="G473" s="84"/>
      <c r="H473" s="51"/>
      <c r="I473" s="47"/>
      <c r="J473" s="59"/>
    </row>
    <row r="474">
      <c r="A474" s="60"/>
      <c r="B474" s="60"/>
      <c r="C474" s="65"/>
      <c r="D474" s="47"/>
      <c r="E474" s="65"/>
      <c r="F474" s="47"/>
      <c r="G474" s="84"/>
      <c r="H474" s="51"/>
      <c r="I474" s="47"/>
      <c r="J474" s="59"/>
    </row>
    <row r="475">
      <c r="A475" s="60"/>
      <c r="B475" s="60"/>
      <c r="C475" s="65"/>
      <c r="D475" s="47"/>
      <c r="E475" s="65"/>
      <c r="F475" s="47"/>
      <c r="G475" s="84"/>
      <c r="H475" s="51"/>
      <c r="I475" s="47"/>
      <c r="J475" s="59"/>
    </row>
    <row r="476">
      <c r="A476" s="60"/>
      <c r="B476" s="60"/>
      <c r="C476" s="65"/>
      <c r="D476" s="47"/>
      <c r="E476" s="65"/>
      <c r="F476" s="47"/>
      <c r="G476" s="84"/>
      <c r="H476" s="51"/>
      <c r="I476" s="47"/>
      <c r="J476" s="59"/>
    </row>
    <row r="477">
      <c r="A477" s="60"/>
      <c r="B477" s="60"/>
      <c r="C477" s="65"/>
      <c r="D477" s="47"/>
      <c r="E477" s="65"/>
      <c r="F477" s="47"/>
      <c r="G477" s="84"/>
      <c r="H477" s="51"/>
      <c r="I477" s="47"/>
      <c r="J477" s="59"/>
    </row>
    <row r="478">
      <c r="A478" s="47"/>
      <c r="B478" s="60"/>
      <c r="C478" s="65"/>
      <c r="D478" s="47"/>
      <c r="E478" s="65"/>
      <c r="F478" s="47"/>
      <c r="G478" s="84"/>
      <c r="H478" s="51"/>
      <c r="I478" s="47"/>
      <c r="J478" s="59"/>
    </row>
    <row r="479">
      <c r="A479" s="60"/>
      <c r="B479" s="60"/>
      <c r="C479" s="65"/>
      <c r="D479" s="47"/>
      <c r="E479" s="65"/>
      <c r="F479" s="47"/>
      <c r="G479" s="84"/>
      <c r="H479" s="51"/>
      <c r="I479" s="47"/>
      <c r="J479" s="59"/>
    </row>
    <row r="480">
      <c r="A480" s="60"/>
      <c r="B480" s="60"/>
      <c r="C480" s="65"/>
      <c r="D480" s="47"/>
      <c r="E480" s="65"/>
      <c r="F480" s="47"/>
      <c r="G480" s="84"/>
      <c r="H480" s="51"/>
      <c r="I480" s="47"/>
      <c r="J480" s="59"/>
    </row>
    <row r="481">
      <c r="A481" s="60"/>
      <c r="B481" s="60"/>
      <c r="C481" s="65"/>
      <c r="D481" s="47"/>
      <c r="E481" s="65"/>
      <c r="F481" s="47"/>
      <c r="G481" s="84"/>
      <c r="H481" s="51"/>
      <c r="I481" s="47"/>
      <c r="J481" s="59"/>
    </row>
    <row r="482">
      <c r="A482" s="60"/>
      <c r="B482" s="60"/>
      <c r="C482" s="65"/>
      <c r="D482" s="47"/>
      <c r="E482" s="65"/>
      <c r="F482" s="47"/>
      <c r="G482" s="84"/>
      <c r="H482" s="51"/>
      <c r="I482" s="47"/>
      <c r="J482" s="59"/>
    </row>
    <row r="483">
      <c r="A483" s="47"/>
      <c r="B483" s="60"/>
      <c r="C483" s="65"/>
      <c r="D483" s="47"/>
      <c r="E483" s="65"/>
      <c r="F483" s="47"/>
      <c r="G483" s="84"/>
      <c r="H483" s="51"/>
      <c r="I483" s="47"/>
      <c r="J483" s="59"/>
    </row>
    <row r="484">
      <c r="A484" s="60"/>
      <c r="B484" s="60"/>
      <c r="C484" s="65"/>
      <c r="D484" s="47"/>
      <c r="E484" s="65"/>
      <c r="F484" s="47"/>
      <c r="G484" s="84"/>
      <c r="H484" s="51"/>
      <c r="I484" s="47"/>
      <c r="J484" s="59"/>
    </row>
    <row r="485">
      <c r="A485" s="60"/>
      <c r="B485" s="60"/>
      <c r="C485" s="65"/>
      <c r="D485" s="47"/>
      <c r="E485" s="65"/>
      <c r="F485" s="47"/>
      <c r="G485" s="84"/>
      <c r="H485" s="51"/>
      <c r="I485" s="47"/>
      <c r="J485" s="59"/>
    </row>
    <row r="486">
      <c r="A486" s="47"/>
      <c r="B486" s="60"/>
      <c r="C486" s="65"/>
      <c r="D486" s="47"/>
      <c r="E486" s="65"/>
      <c r="F486" s="47"/>
      <c r="G486" s="84"/>
      <c r="H486" s="51"/>
      <c r="I486" s="47"/>
      <c r="J486" s="59"/>
    </row>
    <row r="487">
      <c r="A487" s="47"/>
      <c r="B487" s="60"/>
      <c r="C487" s="65"/>
      <c r="D487" s="47"/>
      <c r="E487" s="65"/>
      <c r="F487" s="47"/>
      <c r="G487" s="84"/>
      <c r="H487" s="51"/>
      <c r="I487" s="47"/>
      <c r="J487" s="59"/>
    </row>
    <row r="488">
      <c r="A488" s="60"/>
      <c r="B488" s="60"/>
      <c r="C488" s="65"/>
      <c r="D488" s="47"/>
      <c r="E488" s="65"/>
      <c r="F488" s="47"/>
      <c r="G488" s="84"/>
      <c r="H488" s="51"/>
      <c r="I488" s="47"/>
      <c r="J488" s="59"/>
    </row>
    <row r="489">
      <c r="A489" s="47"/>
      <c r="B489" s="47"/>
      <c r="C489" s="47"/>
      <c r="D489" s="47"/>
      <c r="E489" s="47"/>
      <c r="F489" s="47"/>
      <c r="G489" s="47"/>
      <c r="H489" s="64"/>
      <c r="I489" s="47"/>
      <c r="J489" s="59"/>
    </row>
    <row r="490">
      <c r="A490" s="47"/>
      <c r="B490" s="47"/>
      <c r="C490" s="47"/>
      <c r="D490" s="47"/>
      <c r="E490" s="47"/>
      <c r="F490" s="47"/>
      <c r="G490" s="47"/>
      <c r="H490" s="64"/>
      <c r="I490" s="47"/>
      <c r="J490" s="59"/>
    </row>
    <row r="491">
      <c r="A491" s="80"/>
      <c r="B491" s="60"/>
      <c r="C491" s="60"/>
      <c r="D491" s="47"/>
      <c r="E491" s="86"/>
      <c r="F491" s="47"/>
      <c r="G491" s="64"/>
      <c r="H491" s="64"/>
      <c r="I491" s="47"/>
      <c r="J491" s="64"/>
    </row>
    <row r="492">
      <c r="A492" s="60"/>
      <c r="B492" s="60"/>
      <c r="C492" s="65"/>
      <c r="D492" s="47"/>
      <c r="E492" s="65"/>
      <c r="F492" s="47"/>
      <c r="G492" s="84"/>
      <c r="H492" s="51"/>
      <c r="I492" s="47"/>
      <c r="J492" s="59"/>
    </row>
    <row r="493">
      <c r="A493" s="47"/>
      <c r="B493" s="60"/>
      <c r="C493" s="65"/>
      <c r="D493" s="47"/>
      <c r="E493" s="65"/>
      <c r="F493" s="47"/>
      <c r="G493" s="84"/>
      <c r="H493" s="51"/>
      <c r="I493" s="47"/>
      <c r="J493" s="59"/>
    </row>
    <row r="494">
      <c r="A494" s="60"/>
      <c r="B494" s="60"/>
      <c r="C494" s="65"/>
      <c r="D494" s="47"/>
      <c r="E494" s="65"/>
      <c r="F494" s="47"/>
      <c r="G494" s="84"/>
      <c r="H494" s="51"/>
      <c r="I494" s="47"/>
      <c r="J494" s="59"/>
    </row>
    <row r="495">
      <c r="A495" s="47"/>
      <c r="B495" s="60"/>
      <c r="C495" s="65"/>
      <c r="D495" s="47"/>
      <c r="E495" s="65"/>
      <c r="F495" s="47"/>
      <c r="G495" s="84"/>
      <c r="H495" s="51"/>
      <c r="I495" s="47"/>
      <c r="J495" s="59"/>
    </row>
    <row r="496">
      <c r="A496" s="60"/>
      <c r="B496" s="60"/>
      <c r="C496" s="65"/>
      <c r="D496" s="47"/>
      <c r="E496" s="65"/>
      <c r="F496" s="47"/>
      <c r="G496" s="84"/>
      <c r="H496" s="51"/>
      <c r="I496" s="47"/>
      <c r="J496" s="59"/>
    </row>
    <row r="497">
      <c r="A497" s="60"/>
      <c r="B497" s="60"/>
      <c r="C497" s="65"/>
      <c r="D497" s="47"/>
      <c r="E497" s="65"/>
      <c r="F497" s="47"/>
      <c r="G497" s="84"/>
      <c r="H497" s="51"/>
      <c r="I497" s="47"/>
      <c r="J497" s="59"/>
    </row>
    <row r="498">
      <c r="A498" s="60"/>
      <c r="B498" s="60"/>
      <c r="C498" s="65"/>
      <c r="D498" s="47"/>
      <c r="E498" s="65"/>
      <c r="F498" s="47"/>
      <c r="G498" s="84"/>
      <c r="H498" s="51"/>
      <c r="I498" s="47"/>
      <c r="J498" s="59"/>
    </row>
    <row r="499">
      <c r="A499" s="60"/>
      <c r="B499" s="60"/>
      <c r="C499" s="65"/>
      <c r="D499" s="47"/>
      <c r="E499" s="65"/>
      <c r="F499" s="47"/>
      <c r="G499" s="84"/>
      <c r="H499" s="51"/>
      <c r="I499" s="47"/>
      <c r="J499" s="59"/>
    </row>
    <row r="500">
      <c r="A500" s="60"/>
      <c r="B500" s="60"/>
      <c r="C500" s="65"/>
      <c r="D500" s="47"/>
      <c r="E500" s="65"/>
      <c r="F500" s="47"/>
      <c r="G500" s="84"/>
      <c r="H500" s="51"/>
      <c r="I500" s="47"/>
      <c r="J500" s="59"/>
    </row>
    <row r="501">
      <c r="A501" s="47"/>
      <c r="B501" s="47"/>
      <c r="C501" s="47"/>
      <c r="D501" s="47"/>
      <c r="E501" s="47"/>
      <c r="F501" s="47"/>
      <c r="G501" s="47"/>
      <c r="H501" s="64"/>
      <c r="I501" s="47"/>
      <c r="J501" s="59"/>
    </row>
    <row r="502">
      <c r="A502" s="47"/>
      <c r="B502" s="47"/>
      <c r="C502" s="47"/>
      <c r="D502" s="47"/>
      <c r="E502" s="47"/>
      <c r="F502" s="47"/>
      <c r="G502" s="47"/>
      <c r="H502" s="64"/>
      <c r="I502" s="47"/>
      <c r="J502" s="59"/>
    </row>
    <row r="503">
      <c r="A503" s="80"/>
      <c r="B503" s="60"/>
      <c r="C503" s="60"/>
      <c r="D503" s="47"/>
      <c r="E503" s="86"/>
      <c r="F503" s="47"/>
      <c r="G503" s="64"/>
      <c r="H503" s="64"/>
      <c r="I503" s="47"/>
      <c r="J503" s="64"/>
    </row>
    <row r="504">
      <c r="A504" s="47"/>
      <c r="B504" s="60"/>
      <c r="C504" s="65"/>
      <c r="D504" s="47"/>
      <c r="E504" s="65"/>
      <c r="F504" s="47"/>
      <c r="G504" s="84"/>
      <c r="H504" s="51"/>
      <c r="I504" s="47"/>
      <c r="J504" s="59"/>
    </row>
    <row r="505">
      <c r="A505" s="60"/>
      <c r="B505" s="60"/>
      <c r="C505" s="65"/>
      <c r="D505" s="47"/>
      <c r="E505" s="65"/>
      <c r="F505" s="47"/>
      <c r="G505" s="84"/>
      <c r="H505" s="51"/>
      <c r="I505" s="47"/>
      <c r="J505" s="59"/>
    </row>
    <row r="506">
      <c r="A506" s="60"/>
      <c r="B506" s="60"/>
      <c r="C506" s="65"/>
      <c r="D506" s="47"/>
      <c r="E506" s="65"/>
      <c r="F506" s="47"/>
      <c r="G506" s="84"/>
      <c r="H506" s="51"/>
      <c r="I506" s="47"/>
      <c r="J506" s="59"/>
    </row>
    <row r="507">
      <c r="A507" s="47"/>
      <c r="B507" s="60"/>
      <c r="C507" s="65"/>
      <c r="D507" s="47"/>
      <c r="E507" s="65"/>
      <c r="F507" s="47"/>
      <c r="G507" s="84"/>
      <c r="H507" s="51"/>
      <c r="I507" s="47"/>
      <c r="J507" s="59"/>
    </row>
    <row r="508">
      <c r="A508" s="60"/>
      <c r="B508" s="60"/>
      <c r="C508" s="65"/>
      <c r="D508" s="47"/>
      <c r="E508" s="65"/>
      <c r="F508" s="47"/>
      <c r="G508" s="84"/>
      <c r="H508" s="51"/>
      <c r="I508" s="47"/>
      <c r="J508" s="59"/>
    </row>
    <row r="509">
      <c r="A509" s="47"/>
      <c r="B509" s="60"/>
      <c r="C509" s="65"/>
      <c r="D509" s="47"/>
      <c r="E509" s="65"/>
      <c r="F509" s="47"/>
      <c r="G509" s="84"/>
      <c r="H509" s="51"/>
      <c r="I509" s="47"/>
      <c r="J509" s="59"/>
    </row>
    <row r="510">
      <c r="A510" s="60"/>
      <c r="B510" s="60"/>
      <c r="C510" s="65"/>
      <c r="D510" s="47"/>
      <c r="E510" s="65"/>
      <c r="F510" s="47"/>
      <c r="G510" s="84"/>
      <c r="H510" s="51"/>
      <c r="I510" s="47"/>
      <c r="J510" s="59"/>
    </row>
    <row r="511">
      <c r="A511" s="47"/>
      <c r="B511" s="60"/>
      <c r="C511" s="65"/>
      <c r="D511" s="47"/>
      <c r="E511" s="65"/>
      <c r="F511" s="47"/>
      <c r="G511" s="84"/>
      <c r="H511" s="51"/>
      <c r="I511" s="47"/>
      <c r="J511" s="59"/>
    </row>
    <row r="512">
      <c r="A512" s="47"/>
      <c r="B512" s="60"/>
      <c r="C512" s="65"/>
      <c r="D512" s="47"/>
      <c r="E512" s="65"/>
      <c r="F512" s="47"/>
      <c r="G512" s="84"/>
      <c r="H512" s="51"/>
      <c r="I512" s="47"/>
      <c r="J512" s="59"/>
    </row>
    <row r="513">
      <c r="A513" s="47"/>
      <c r="B513" s="60"/>
      <c r="C513" s="65"/>
      <c r="D513" s="47"/>
      <c r="E513" s="65"/>
      <c r="F513" s="47"/>
      <c r="G513" s="84"/>
      <c r="H513" s="51"/>
      <c r="I513" s="47"/>
      <c r="J513" s="59"/>
    </row>
    <row r="514">
      <c r="A514" s="47"/>
      <c r="B514" s="47"/>
      <c r="C514" s="47"/>
      <c r="D514" s="47"/>
      <c r="E514" s="47"/>
      <c r="F514" s="47"/>
      <c r="G514" s="47"/>
      <c r="H514" s="64"/>
      <c r="I514" s="47"/>
      <c r="J514" s="59"/>
    </row>
    <row r="515">
      <c r="A515" s="47"/>
      <c r="B515" s="47"/>
      <c r="C515" s="47"/>
      <c r="D515" s="47"/>
      <c r="E515" s="47"/>
      <c r="F515" s="47"/>
      <c r="G515" s="47"/>
      <c r="H515" s="86"/>
      <c r="I515" s="47"/>
      <c r="J515" s="59"/>
    </row>
    <row r="516">
      <c r="A516" s="47"/>
      <c r="B516" s="47"/>
      <c r="C516" s="47"/>
      <c r="D516" s="47"/>
      <c r="E516" s="47"/>
      <c r="F516" s="47"/>
      <c r="G516" s="47"/>
      <c r="H516" s="64"/>
      <c r="I516" s="47"/>
      <c r="J516" s="59"/>
    </row>
    <row r="517">
      <c r="A517" s="47"/>
      <c r="B517" s="47"/>
      <c r="C517" s="47"/>
      <c r="D517" s="47"/>
      <c r="E517" s="47"/>
      <c r="F517" s="47"/>
      <c r="G517" s="47"/>
      <c r="H517" s="64"/>
      <c r="I517" s="47"/>
      <c r="J517" s="59"/>
    </row>
    <row r="518">
      <c r="A518" s="80"/>
      <c r="B518" s="60"/>
      <c r="C518" s="60"/>
      <c r="D518" s="47"/>
      <c r="E518" s="86"/>
      <c r="F518" s="47"/>
      <c r="G518" s="64"/>
      <c r="H518" s="64"/>
      <c r="I518" s="47"/>
      <c r="J518" s="64"/>
    </row>
    <row r="519">
      <c r="A519" s="60"/>
      <c r="B519" s="60"/>
      <c r="C519" s="65"/>
      <c r="D519" s="47"/>
      <c r="E519" s="65"/>
      <c r="F519" s="47"/>
      <c r="G519" s="84"/>
      <c r="H519" s="51"/>
      <c r="I519" s="47"/>
      <c r="J519" s="59"/>
    </row>
    <row r="520">
      <c r="A520" s="60"/>
      <c r="B520" s="60"/>
      <c r="C520" s="65"/>
      <c r="D520" s="47"/>
      <c r="E520" s="65"/>
      <c r="F520" s="47"/>
      <c r="G520" s="84"/>
      <c r="H520" s="51"/>
      <c r="I520" s="47"/>
      <c r="J520" s="59"/>
    </row>
    <row r="521">
      <c r="A521" s="60"/>
      <c r="B521" s="60"/>
      <c r="C521" s="65"/>
      <c r="D521" s="47"/>
      <c r="E521" s="65"/>
      <c r="F521" s="47"/>
      <c r="G521" s="84"/>
      <c r="H521" s="51"/>
      <c r="I521" s="47"/>
      <c r="J521" s="59"/>
    </row>
    <row r="522">
      <c r="A522" s="47"/>
      <c r="B522" s="60"/>
      <c r="C522" s="65"/>
      <c r="D522" s="47"/>
      <c r="E522" s="65"/>
      <c r="F522" s="47"/>
      <c r="G522" s="84"/>
      <c r="H522" s="51"/>
      <c r="I522" s="47"/>
      <c r="J522" s="59"/>
    </row>
    <row r="523">
      <c r="A523" s="47"/>
      <c r="B523" s="60"/>
      <c r="C523" s="65"/>
      <c r="D523" s="47"/>
      <c r="E523" s="65"/>
      <c r="F523" s="47"/>
      <c r="G523" s="84"/>
      <c r="H523" s="51"/>
      <c r="I523" s="47"/>
      <c r="J523" s="59"/>
    </row>
    <row r="524">
      <c r="A524" s="47"/>
      <c r="B524" s="60"/>
      <c r="C524" s="65"/>
      <c r="D524" s="47"/>
      <c r="E524" s="65"/>
      <c r="F524" s="47"/>
      <c r="G524" s="84"/>
      <c r="H524" s="51"/>
      <c r="I524" s="47"/>
      <c r="J524" s="59"/>
    </row>
    <row r="525">
      <c r="A525" s="47"/>
      <c r="B525" s="60"/>
      <c r="C525" s="65"/>
      <c r="D525" s="47"/>
      <c r="E525" s="65"/>
      <c r="F525" s="47"/>
      <c r="G525" s="84"/>
      <c r="H525" s="51"/>
      <c r="I525" s="47"/>
      <c r="J525" s="59"/>
    </row>
    <row r="526">
      <c r="A526" s="47"/>
      <c r="B526" s="47"/>
      <c r="C526" s="47"/>
      <c r="D526" s="47"/>
      <c r="E526" s="47"/>
      <c r="F526" s="47"/>
      <c r="G526" s="47"/>
      <c r="H526" s="64"/>
      <c r="I526" s="47"/>
      <c r="J526" s="59"/>
    </row>
    <row r="527">
      <c r="A527" s="47"/>
      <c r="B527" s="47"/>
      <c r="C527" s="47"/>
      <c r="D527" s="47"/>
      <c r="E527" s="47"/>
      <c r="F527" s="47"/>
      <c r="G527" s="47"/>
      <c r="H527" s="64"/>
      <c r="I527" s="47"/>
      <c r="J527" s="59"/>
    </row>
    <row r="528">
      <c r="A528" s="80"/>
      <c r="B528" s="60"/>
      <c r="C528" s="60"/>
      <c r="D528" s="47"/>
      <c r="E528" s="86"/>
      <c r="F528" s="47"/>
      <c r="G528" s="64"/>
      <c r="H528" s="64"/>
      <c r="I528" s="47"/>
      <c r="J528" s="64"/>
    </row>
    <row r="529">
      <c r="A529" s="47"/>
      <c r="B529" s="60"/>
      <c r="C529" s="65"/>
      <c r="D529" s="47"/>
      <c r="E529" s="65"/>
      <c r="F529" s="47"/>
      <c r="G529" s="84"/>
      <c r="H529" s="51"/>
      <c r="I529" s="47"/>
      <c r="J529" s="59"/>
    </row>
    <row r="530">
      <c r="A530" s="60"/>
      <c r="B530" s="60"/>
      <c r="C530" s="65"/>
      <c r="D530" s="47"/>
      <c r="E530" s="65"/>
      <c r="F530" s="47"/>
      <c r="G530" s="84"/>
      <c r="H530" s="51"/>
      <c r="I530" s="47"/>
      <c r="J530" s="59"/>
    </row>
    <row r="531">
      <c r="A531" s="47"/>
      <c r="B531" s="60"/>
      <c r="C531" s="65"/>
      <c r="D531" s="47"/>
      <c r="E531" s="65"/>
      <c r="F531" s="47"/>
      <c r="G531" s="84"/>
      <c r="H531" s="51"/>
      <c r="I531" s="47"/>
      <c r="J531" s="59"/>
    </row>
    <row r="532">
      <c r="A532" s="60"/>
      <c r="B532" s="60"/>
      <c r="C532" s="65"/>
      <c r="D532" s="47"/>
      <c r="E532" s="65"/>
      <c r="F532" s="47"/>
      <c r="G532" s="84"/>
      <c r="H532" s="51"/>
      <c r="I532" s="47"/>
      <c r="J532" s="59"/>
    </row>
    <row r="533">
      <c r="A533" s="60"/>
      <c r="B533" s="60"/>
      <c r="C533" s="65"/>
      <c r="D533" s="47"/>
      <c r="E533" s="65"/>
      <c r="F533" s="47"/>
      <c r="G533" s="84"/>
      <c r="H533" s="51"/>
      <c r="I533" s="47"/>
      <c r="J533" s="59"/>
    </row>
    <row r="534">
      <c r="A534" s="47"/>
      <c r="B534" s="60"/>
      <c r="C534" s="65"/>
      <c r="D534" s="47"/>
      <c r="E534" s="65"/>
      <c r="F534" s="47"/>
      <c r="G534" s="84"/>
      <c r="H534" s="51"/>
      <c r="I534" s="47"/>
      <c r="J534" s="59"/>
    </row>
    <row r="535">
      <c r="A535" s="47"/>
      <c r="B535" s="47"/>
      <c r="C535" s="47"/>
      <c r="D535" s="47"/>
      <c r="E535" s="47"/>
      <c r="F535" s="47"/>
      <c r="G535" s="47"/>
      <c r="H535" s="64"/>
      <c r="I535" s="47"/>
      <c r="J535" s="59"/>
    </row>
    <row r="536">
      <c r="A536" s="47"/>
      <c r="B536" s="47"/>
      <c r="C536" s="47"/>
      <c r="D536" s="47"/>
      <c r="E536" s="47"/>
      <c r="F536" s="47"/>
      <c r="G536" s="47"/>
      <c r="H536" s="64"/>
      <c r="I536" s="47"/>
      <c r="J536" s="59"/>
    </row>
    <row r="537">
      <c r="A537" s="80"/>
      <c r="B537" s="60"/>
      <c r="C537" s="60"/>
      <c r="D537" s="47"/>
      <c r="E537" s="86"/>
      <c r="F537" s="47"/>
      <c r="G537" s="64"/>
      <c r="H537" s="64"/>
      <c r="I537" s="47"/>
      <c r="J537" s="64"/>
    </row>
    <row r="538">
      <c r="A538" s="60"/>
      <c r="B538" s="60"/>
      <c r="C538" s="65"/>
      <c r="D538" s="47"/>
      <c r="E538" s="65"/>
      <c r="F538" s="47"/>
      <c r="G538" s="84"/>
      <c r="H538" s="51"/>
      <c r="I538" s="47"/>
      <c r="J538" s="59"/>
    </row>
    <row r="539">
      <c r="A539" s="47"/>
      <c r="B539" s="60"/>
      <c r="C539" s="65"/>
      <c r="D539" s="47"/>
      <c r="E539" s="65"/>
      <c r="F539" s="47"/>
      <c r="G539" s="84"/>
      <c r="H539" s="51"/>
      <c r="I539" s="47"/>
      <c r="J539" s="59"/>
    </row>
    <row r="540">
      <c r="A540" s="60"/>
      <c r="B540" s="60"/>
      <c r="C540" s="65"/>
      <c r="D540" s="47"/>
      <c r="E540" s="65"/>
      <c r="F540" s="47"/>
      <c r="G540" s="84"/>
      <c r="H540" s="51"/>
      <c r="I540" s="47"/>
      <c r="J540" s="59"/>
    </row>
    <row r="541">
      <c r="A541" s="47"/>
      <c r="B541" s="60"/>
      <c r="C541" s="65"/>
      <c r="D541" s="47"/>
      <c r="E541" s="65"/>
      <c r="F541" s="47"/>
      <c r="G541" s="84"/>
      <c r="H541" s="51"/>
      <c r="I541" s="47"/>
      <c r="J541" s="59"/>
    </row>
    <row r="542">
      <c r="A542" s="47"/>
      <c r="B542" s="60"/>
      <c r="C542" s="65"/>
      <c r="D542" s="47"/>
      <c r="E542" s="65"/>
      <c r="F542" s="47"/>
      <c r="G542" s="84"/>
      <c r="H542" s="51"/>
      <c r="I542" s="47"/>
      <c r="J542" s="59"/>
    </row>
    <row r="543">
      <c r="A543" s="47"/>
      <c r="B543" s="60"/>
      <c r="C543" s="65"/>
      <c r="D543" s="47"/>
      <c r="E543" s="65"/>
      <c r="F543" s="47"/>
      <c r="G543" s="84"/>
      <c r="H543" s="51"/>
      <c r="I543" s="47"/>
      <c r="J543" s="59"/>
    </row>
    <row r="544">
      <c r="A544" s="47"/>
      <c r="B544" s="60"/>
      <c r="C544" s="65"/>
      <c r="D544" s="47"/>
      <c r="E544" s="65"/>
      <c r="F544" s="47"/>
      <c r="G544" s="84"/>
      <c r="H544" s="51"/>
      <c r="I544" s="47"/>
      <c r="J544" s="59"/>
    </row>
  </sheetData>
  <dataValidations>
    <dataValidation type="custom" allowBlank="1" showDropDown="1" sqref="D5:H9 D13:H19 D23:H35 D40:H48 D51:H60 E64:E149 H64:I149 E154:I178 E187:I201 E205:I214 E217:I225 E229:E249 H229:I249 E253:I257 E261:I264">
      <formula1>AND(ISNUMBER(D5),(NOT(OR(NOT(ISERROR(DATEVALUE(D5))), AND(ISNUMBER(D5), LEFT(CELL("format", D5))="D")))))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3" max="3" width="23.0"/>
    <col customWidth="1" min="4" max="4" width="31.63"/>
    <col customWidth="1" min="5" max="5" width="13.0"/>
    <col customWidth="1" min="6" max="6" width="18.13"/>
    <col customWidth="1" min="7" max="7" width="25.63"/>
  </cols>
  <sheetData>
    <row r="2">
      <c r="A2" s="91" t="s">
        <v>244</v>
      </c>
    </row>
    <row r="3">
      <c r="A3" s="2"/>
      <c r="B3" s="92"/>
      <c r="C3" s="2"/>
      <c r="D3" s="4"/>
      <c r="E3" s="5"/>
      <c r="F3" s="6"/>
      <c r="G3" s="6"/>
    </row>
    <row r="4" ht="22.5" customHeight="1">
      <c r="A4" s="8" t="s">
        <v>1</v>
      </c>
      <c r="B4" s="93" t="s">
        <v>2</v>
      </c>
      <c r="C4" s="10" t="s">
        <v>3</v>
      </c>
      <c r="D4" s="8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0" t="s">
        <v>9</v>
      </c>
      <c r="J4" s="10" t="s">
        <v>10</v>
      </c>
    </row>
    <row r="5" ht="22.5" customHeight="1">
      <c r="A5" s="94" t="s">
        <v>245</v>
      </c>
      <c r="B5" s="15">
        <v>120.0</v>
      </c>
      <c r="C5" s="15" t="s">
        <v>12</v>
      </c>
      <c r="D5" s="29">
        <v>10060.0</v>
      </c>
      <c r="E5" s="95">
        <v>21112.11</v>
      </c>
      <c r="F5" s="29">
        <v>31172.11</v>
      </c>
      <c r="G5" s="32">
        <v>47997.18000000001</v>
      </c>
      <c r="H5" s="19">
        <f t="shared" ref="H5:H10" si="1">G5*0.9</f>
        <v>43197.462</v>
      </c>
      <c r="I5" s="20" t="s">
        <v>13</v>
      </c>
      <c r="J5" s="21" t="s">
        <v>14</v>
      </c>
    </row>
    <row r="6" ht="22.5" customHeight="1">
      <c r="A6" s="94" t="s">
        <v>11</v>
      </c>
      <c r="B6" s="15">
        <v>140.0</v>
      </c>
      <c r="C6" s="15" t="s">
        <v>12</v>
      </c>
      <c r="D6" s="29">
        <v>11150.0</v>
      </c>
      <c r="E6" s="95">
        <v>22143.48</v>
      </c>
      <c r="F6" s="29">
        <v>33293.48</v>
      </c>
      <c r="G6" s="32">
        <v>51687.405000000006</v>
      </c>
      <c r="H6" s="19">
        <f t="shared" si="1"/>
        <v>46518.6645</v>
      </c>
      <c r="I6" s="20" t="s">
        <v>13</v>
      </c>
      <c r="J6" s="21" t="s">
        <v>14</v>
      </c>
    </row>
    <row r="7" ht="22.5" customHeight="1">
      <c r="A7" s="94" t="s">
        <v>15</v>
      </c>
      <c r="B7" s="15">
        <v>160.0</v>
      </c>
      <c r="C7" s="15" t="s">
        <v>12</v>
      </c>
      <c r="D7" s="29">
        <v>12640.0</v>
      </c>
      <c r="E7" s="95">
        <v>23358.25</v>
      </c>
      <c r="F7" s="29">
        <v>35998.25</v>
      </c>
      <c r="G7" s="32">
        <v>56034.82500000001</v>
      </c>
      <c r="H7" s="19">
        <f t="shared" si="1"/>
        <v>50431.3425</v>
      </c>
      <c r="I7" s="20" t="s">
        <v>13</v>
      </c>
      <c r="J7" s="21" t="s">
        <v>14</v>
      </c>
    </row>
    <row r="8" ht="22.5" customHeight="1">
      <c r="A8" s="94" t="s">
        <v>16</v>
      </c>
      <c r="B8" s="15">
        <v>180.0</v>
      </c>
      <c r="C8" s="15" t="s">
        <v>12</v>
      </c>
      <c r="D8" s="29">
        <v>15530.0</v>
      </c>
      <c r="E8" s="95">
        <v>26006.58</v>
      </c>
      <c r="F8" s="29">
        <v>41536.58</v>
      </c>
      <c r="G8" s="32">
        <v>65512.75500000001</v>
      </c>
      <c r="H8" s="19">
        <f t="shared" si="1"/>
        <v>58961.4795</v>
      </c>
      <c r="I8" s="20" t="s">
        <v>13</v>
      </c>
      <c r="J8" s="21" t="s">
        <v>14</v>
      </c>
    </row>
    <row r="9" ht="22.5" customHeight="1">
      <c r="A9" s="94" t="s">
        <v>17</v>
      </c>
      <c r="B9" s="15">
        <v>200.0</v>
      </c>
      <c r="C9" s="15" t="s">
        <v>12</v>
      </c>
      <c r="D9" s="29">
        <v>17330.0</v>
      </c>
      <c r="E9" s="95">
        <v>27021.98</v>
      </c>
      <c r="F9" s="29">
        <v>44351.98</v>
      </c>
      <c r="G9" s="32">
        <v>69146.38500000001</v>
      </c>
      <c r="H9" s="19">
        <f t="shared" si="1"/>
        <v>62231.7465</v>
      </c>
      <c r="I9" s="20" t="s">
        <v>13</v>
      </c>
      <c r="J9" s="21" t="s">
        <v>14</v>
      </c>
    </row>
    <row r="10" ht="22.5" customHeight="1">
      <c r="A10" s="94" t="s">
        <v>246</v>
      </c>
      <c r="B10" s="15">
        <v>220.0</v>
      </c>
      <c r="C10" s="15" t="s">
        <v>12</v>
      </c>
      <c r="D10" s="29">
        <v>19130.0</v>
      </c>
      <c r="E10" s="95">
        <v>27636.92</v>
      </c>
      <c r="F10" s="29">
        <v>46766.92</v>
      </c>
      <c r="G10" s="32">
        <v>71346.66000000002</v>
      </c>
      <c r="H10" s="19">
        <f t="shared" si="1"/>
        <v>64211.994</v>
      </c>
      <c r="I10" s="20" t="s">
        <v>13</v>
      </c>
      <c r="J10" s="21" t="s">
        <v>14</v>
      </c>
    </row>
    <row r="11">
      <c r="A11" s="7"/>
      <c r="C11" s="7"/>
      <c r="D11" s="7"/>
      <c r="E11" s="7"/>
      <c r="F11" s="36"/>
      <c r="G11" s="37"/>
    </row>
    <row r="12">
      <c r="A12" s="7"/>
      <c r="C12" s="7"/>
      <c r="D12" s="7"/>
      <c r="E12" s="7"/>
      <c r="F12" s="36"/>
      <c r="G12" s="37"/>
    </row>
    <row r="13" ht="22.5" customHeight="1">
      <c r="A13" s="8" t="s">
        <v>247</v>
      </c>
      <c r="B13" s="93" t="s">
        <v>2</v>
      </c>
      <c r="C13" s="10" t="s">
        <v>3</v>
      </c>
      <c r="D13" s="8" t="s">
        <v>4</v>
      </c>
      <c r="E13" s="11" t="s">
        <v>5</v>
      </c>
      <c r="F13" s="12" t="s">
        <v>6</v>
      </c>
      <c r="G13" s="12" t="s">
        <v>248</v>
      </c>
      <c r="H13" s="12" t="s">
        <v>20</v>
      </c>
      <c r="I13" s="13" t="s">
        <v>9</v>
      </c>
      <c r="J13" s="10" t="s">
        <v>10</v>
      </c>
    </row>
    <row r="14" ht="22.5" customHeight="1">
      <c r="A14" s="94" t="s">
        <v>23</v>
      </c>
      <c r="B14" s="15">
        <v>140.0</v>
      </c>
      <c r="C14" s="15" t="s">
        <v>22</v>
      </c>
      <c r="D14" s="29">
        <v>11928.0</v>
      </c>
      <c r="E14" s="95">
        <v>23992.61</v>
      </c>
      <c r="F14" s="29">
        <v>35920.61</v>
      </c>
      <c r="G14" s="32">
        <v>58305.55500000001</v>
      </c>
      <c r="H14" s="19">
        <f t="shared" ref="H14:H17" si="2">G14*0.9</f>
        <v>52474.9995</v>
      </c>
      <c r="I14" s="20" t="s">
        <v>13</v>
      </c>
      <c r="J14" s="21" t="s">
        <v>14</v>
      </c>
    </row>
    <row r="15" ht="22.5" customHeight="1">
      <c r="A15" s="94" t="s">
        <v>24</v>
      </c>
      <c r="B15" s="15">
        <v>160.0</v>
      </c>
      <c r="C15" s="15" t="s">
        <v>22</v>
      </c>
      <c r="D15" s="29">
        <v>14332.0</v>
      </c>
      <c r="E15" s="95">
        <v>25212.99</v>
      </c>
      <c r="F15" s="29">
        <v>39544.99</v>
      </c>
      <c r="G15" s="32">
        <v>62672.61000000001</v>
      </c>
      <c r="H15" s="19">
        <f t="shared" si="2"/>
        <v>56405.349</v>
      </c>
      <c r="I15" s="20" t="s">
        <v>13</v>
      </c>
      <c r="J15" s="21" t="s">
        <v>14</v>
      </c>
    </row>
    <row r="16" ht="22.5" customHeight="1">
      <c r="A16" s="94" t="s">
        <v>25</v>
      </c>
      <c r="B16" s="15">
        <v>180.0</v>
      </c>
      <c r="C16" s="15" t="s">
        <v>22</v>
      </c>
      <c r="D16" s="29">
        <v>16336.0</v>
      </c>
      <c r="E16" s="95">
        <v>26433.37</v>
      </c>
      <c r="F16" s="29">
        <v>42769.37</v>
      </c>
      <c r="G16" s="32">
        <v>67039.66500000001</v>
      </c>
      <c r="H16" s="19">
        <f t="shared" si="2"/>
        <v>60335.6985</v>
      </c>
      <c r="I16" s="20" t="s">
        <v>13</v>
      </c>
      <c r="J16" s="21" t="s">
        <v>14</v>
      </c>
    </row>
    <row r="17" ht="22.5" customHeight="1">
      <c r="A17" s="94" t="s">
        <v>26</v>
      </c>
      <c r="B17" s="15">
        <v>200.0</v>
      </c>
      <c r="C17" s="15" t="s">
        <v>22</v>
      </c>
      <c r="D17" s="29">
        <v>18510.0</v>
      </c>
      <c r="E17" s="95">
        <v>26920.14</v>
      </c>
      <c r="F17" s="29">
        <v>45430.14</v>
      </c>
      <c r="G17" s="32">
        <v>68781.40500000001</v>
      </c>
      <c r="H17" s="19">
        <f t="shared" si="2"/>
        <v>61903.2645</v>
      </c>
      <c r="I17" s="20" t="s">
        <v>13</v>
      </c>
      <c r="J17" s="21" t="s">
        <v>14</v>
      </c>
    </row>
    <row r="18">
      <c r="A18" s="7"/>
      <c r="C18" s="7"/>
      <c r="D18" s="7"/>
      <c r="E18" s="7"/>
      <c r="F18" s="36"/>
      <c r="G18" s="37"/>
    </row>
    <row r="19">
      <c r="A19" s="7"/>
      <c r="C19" s="7"/>
      <c r="D19" s="7"/>
      <c r="E19" s="7"/>
      <c r="F19" s="36"/>
      <c r="G19" s="37"/>
    </row>
    <row r="20" ht="22.5" customHeight="1">
      <c r="A20" s="8" t="s">
        <v>249</v>
      </c>
      <c r="B20" s="93" t="s">
        <v>2</v>
      </c>
      <c r="C20" s="10" t="s">
        <v>3</v>
      </c>
      <c r="D20" s="8" t="s">
        <v>4</v>
      </c>
      <c r="E20" s="11" t="s">
        <v>5</v>
      </c>
      <c r="F20" s="12" t="s">
        <v>6</v>
      </c>
      <c r="G20" s="12" t="s">
        <v>248</v>
      </c>
      <c r="H20" s="12" t="s">
        <v>20</v>
      </c>
      <c r="I20" s="13" t="s">
        <v>9</v>
      </c>
      <c r="J20" s="10" t="s">
        <v>10</v>
      </c>
    </row>
    <row r="21" ht="22.5" customHeight="1">
      <c r="A21" s="94" t="s">
        <v>250</v>
      </c>
      <c r="B21" s="15">
        <v>50.0</v>
      </c>
      <c r="C21" s="15" t="s">
        <v>31</v>
      </c>
      <c r="D21" s="29">
        <v>6370.0</v>
      </c>
      <c r="E21" s="95">
        <v>13224.12</v>
      </c>
      <c r="F21" s="29">
        <v>19594.12</v>
      </c>
      <c r="G21" s="32">
        <v>31328.22</v>
      </c>
      <c r="H21" s="19">
        <f t="shared" ref="H21:H35" si="3">G21*0.9</f>
        <v>28195.398</v>
      </c>
      <c r="I21" s="20" t="s">
        <v>13</v>
      </c>
      <c r="J21" s="21" t="s">
        <v>32</v>
      </c>
    </row>
    <row r="22" ht="22.5" customHeight="1">
      <c r="A22" s="94" t="s">
        <v>251</v>
      </c>
      <c r="B22" s="15">
        <v>60.0</v>
      </c>
      <c r="C22" s="15" t="s">
        <v>31</v>
      </c>
      <c r="D22" s="29">
        <v>7830.0</v>
      </c>
      <c r="E22" s="95">
        <v>14250.74</v>
      </c>
      <c r="F22" s="29">
        <v>22080.74</v>
      </c>
      <c r="G22" s="32">
        <v>35001.12</v>
      </c>
      <c r="H22" s="19">
        <f t="shared" si="3"/>
        <v>31501.008</v>
      </c>
      <c r="I22" s="20" t="s">
        <v>13</v>
      </c>
      <c r="J22" s="21" t="s">
        <v>32</v>
      </c>
    </row>
    <row r="23" ht="22.5" customHeight="1">
      <c r="A23" s="94" t="s">
        <v>252</v>
      </c>
      <c r="B23" s="15">
        <v>70.0</v>
      </c>
      <c r="C23" s="15" t="s">
        <v>31</v>
      </c>
      <c r="D23" s="29">
        <v>8280.0</v>
      </c>
      <c r="E23" s="95">
        <v>14888.98</v>
      </c>
      <c r="F23" s="29">
        <v>23168.98</v>
      </c>
      <c r="G23" s="32">
        <v>37285.71000000001</v>
      </c>
      <c r="H23" s="19">
        <f t="shared" si="3"/>
        <v>33557.139</v>
      </c>
      <c r="I23" s="20" t="s">
        <v>13</v>
      </c>
      <c r="J23" s="21" t="s">
        <v>32</v>
      </c>
    </row>
    <row r="24" ht="22.5" customHeight="1">
      <c r="A24" s="94" t="s">
        <v>253</v>
      </c>
      <c r="B24" s="15">
        <v>80.0</v>
      </c>
      <c r="C24" s="15" t="s">
        <v>31</v>
      </c>
      <c r="D24" s="29">
        <v>8730.0</v>
      </c>
      <c r="E24" s="95">
        <v>19165.89</v>
      </c>
      <c r="F24" s="29">
        <v>27895.89</v>
      </c>
      <c r="G24" s="32">
        <v>41032.530000000006</v>
      </c>
      <c r="H24" s="19">
        <f t="shared" si="3"/>
        <v>36929.277</v>
      </c>
      <c r="I24" s="20" t="s">
        <v>13</v>
      </c>
      <c r="J24" s="21" t="s">
        <v>32</v>
      </c>
    </row>
    <row r="25" ht="22.5" customHeight="1">
      <c r="A25" s="94" t="s">
        <v>254</v>
      </c>
      <c r="B25" s="15">
        <v>90.0</v>
      </c>
      <c r="C25" s="15" t="s">
        <v>31</v>
      </c>
      <c r="D25" s="29">
        <v>9290.0</v>
      </c>
      <c r="E25" s="95">
        <v>19840.81</v>
      </c>
      <c r="F25" s="29">
        <v>29130.81</v>
      </c>
      <c r="G25" s="32">
        <v>43447.63500000001</v>
      </c>
      <c r="H25" s="19">
        <f t="shared" si="3"/>
        <v>39102.8715</v>
      </c>
      <c r="I25" s="20" t="s">
        <v>13</v>
      </c>
      <c r="J25" s="21" t="s">
        <v>32</v>
      </c>
    </row>
    <row r="26" ht="22.5" customHeight="1">
      <c r="A26" s="94" t="s">
        <v>255</v>
      </c>
      <c r="B26" s="15">
        <v>100.0</v>
      </c>
      <c r="C26" s="15" t="s">
        <v>31</v>
      </c>
      <c r="D26" s="29">
        <v>9740.0</v>
      </c>
      <c r="E26" s="95">
        <v>20852.76</v>
      </c>
      <c r="F26" s="29">
        <v>30592.76</v>
      </c>
      <c r="G26" s="32">
        <v>47068.560000000005</v>
      </c>
      <c r="H26" s="19">
        <f t="shared" si="3"/>
        <v>42361.704</v>
      </c>
      <c r="I26" s="20" t="s">
        <v>13</v>
      </c>
      <c r="J26" s="21" t="s">
        <v>32</v>
      </c>
    </row>
    <row r="27" ht="22.5" customHeight="1">
      <c r="A27" s="94" t="s">
        <v>256</v>
      </c>
      <c r="B27" s="15">
        <v>110.0</v>
      </c>
      <c r="C27" s="15" t="s">
        <v>31</v>
      </c>
      <c r="D27" s="29">
        <v>10190.0</v>
      </c>
      <c r="E27" s="95">
        <v>21163.9</v>
      </c>
      <c r="F27" s="29">
        <v>31353.9</v>
      </c>
      <c r="G27" s="32">
        <v>48181.98000000001</v>
      </c>
      <c r="H27" s="19">
        <f t="shared" si="3"/>
        <v>43363.782</v>
      </c>
      <c r="I27" s="20" t="s">
        <v>13</v>
      </c>
      <c r="J27" s="21" t="s">
        <v>32</v>
      </c>
    </row>
    <row r="28" ht="22.5" customHeight="1">
      <c r="A28" s="94" t="s">
        <v>257</v>
      </c>
      <c r="B28" s="15">
        <v>115.0</v>
      </c>
      <c r="C28" s="15" t="s">
        <v>31</v>
      </c>
      <c r="D28" s="29">
        <v>10750.0</v>
      </c>
      <c r="E28" s="95">
        <v>21696.41</v>
      </c>
      <c r="F28" s="29">
        <v>32446.41</v>
      </c>
      <c r="G28" s="32">
        <v>50087.73000000001</v>
      </c>
      <c r="H28" s="19">
        <f t="shared" si="3"/>
        <v>45078.957</v>
      </c>
      <c r="I28" s="20" t="s">
        <v>13</v>
      </c>
      <c r="J28" s="21" t="s">
        <v>32</v>
      </c>
    </row>
    <row r="29" ht="22.5" customHeight="1">
      <c r="A29" s="94" t="s">
        <v>258</v>
      </c>
      <c r="B29" s="15">
        <v>120.0</v>
      </c>
      <c r="C29" s="15" t="s">
        <v>31</v>
      </c>
      <c r="D29" s="29">
        <v>10750.0</v>
      </c>
      <c r="E29" s="95">
        <v>22196.56</v>
      </c>
      <c r="F29" s="29">
        <v>32946.56</v>
      </c>
      <c r="G29" s="32">
        <v>51877.98000000001</v>
      </c>
      <c r="H29" s="19">
        <f t="shared" si="3"/>
        <v>46690.182</v>
      </c>
      <c r="I29" s="20" t="s">
        <v>13</v>
      </c>
      <c r="J29" s="21" t="s">
        <v>32</v>
      </c>
    </row>
    <row r="30" ht="22.5" customHeight="1">
      <c r="A30" s="94" t="s">
        <v>259</v>
      </c>
      <c r="B30" s="15">
        <v>130.0</v>
      </c>
      <c r="C30" s="15" t="s">
        <v>31</v>
      </c>
      <c r="D30" s="29">
        <v>11710.0</v>
      </c>
      <c r="E30" s="95">
        <v>22707.93</v>
      </c>
      <c r="F30" s="29">
        <v>34417.93</v>
      </c>
      <c r="G30" s="32">
        <v>53707.50000000001</v>
      </c>
      <c r="H30" s="19">
        <f t="shared" si="3"/>
        <v>48336.75</v>
      </c>
      <c r="I30" s="20" t="s">
        <v>13</v>
      </c>
      <c r="J30" s="21" t="s">
        <v>32</v>
      </c>
    </row>
    <row r="31" ht="22.5" customHeight="1">
      <c r="A31" s="94" t="s">
        <v>260</v>
      </c>
      <c r="B31" s="15">
        <v>140.0</v>
      </c>
      <c r="C31" s="15" t="s">
        <v>31</v>
      </c>
      <c r="D31" s="29">
        <v>12160.0</v>
      </c>
      <c r="E31" s="95">
        <v>23243.03</v>
      </c>
      <c r="F31" s="29">
        <v>35403.03</v>
      </c>
      <c r="G31" s="32">
        <v>55622.490000000005</v>
      </c>
      <c r="H31" s="19">
        <f t="shared" si="3"/>
        <v>50060.241</v>
      </c>
      <c r="I31" s="20" t="s">
        <v>13</v>
      </c>
      <c r="J31" s="21" t="s">
        <v>32</v>
      </c>
    </row>
    <row r="32" ht="22.5" customHeight="1">
      <c r="A32" s="94" t="s">
        <v>261</v>
      </c>
      <c r="B32" s="15">
        <v>150.0</v>
      </c>
      <c r="C32" s="15" t="s">
        <v>31</v>
      </c>
      <c r="D32" s="29">
        <v>13960.0</v>
      </c>
      <c r="E32" s="95">
        <v>24057.34</v>
      </c>
      <c r="F32" s="29">
        <v>38017.34</v>
      </c>
      <c r="G32" s="32">
        <v>58536.55500000001</v>
      </c>
      <c r="H32" s="19">
        <f t="shared" si="3"/>
        <v>52682.8995</v>
      </c>
      <c r="I32" s="20" t="s">
        <v>13</v>
      </c>
      <c r="J32" s="21" t="s">
        <v>32</v>
      </c>
    </row>
    <row r="33" ht="22.5" customHeight="1">
      <c r="A33" s="94" t="s">
        <v>262</v>
      </c>
      <c r="B33" s="15">
        <v>160.0</v>
      </c>
      <c r="C33" s="15" t="s">
        <v>31</v>
      </c>
      <c r="D33" s="29">
        <v>15080.0</v>
      </c>
      <c r="E33" s="95">
        <v>24510.45</v>
      </c>
      <c r="F33" s="29">
        <v>39590.45</v>
      </c>
      <c r="G33" s="32">
        <v>60158.17500000001</v>
      </c>
      <c r="H33" s="19">
        <f t="shared" si="3"/>
        <v>54142.3575</v>
      </c>
      <c r="I33" s="20" t="s">
        <v>13</v>
      </c>
      <c r="J33" s="21" t="s">
        <v>32</v>
      </c>
    </row>
    <row r="34" ht="22.5" customHeight="1">
      <c r="A34" s="94" t="s">
        <v>263</v>
      </c>
      <c r="B34" s="15">
        <v>180.0</v>
      </c>
      <c r="C34" s="15" t="s">
        <v>31</v>
      </c>
      <c r="D34" s="29">
        <v>16880.0</v>
      </c>
      <c r="E34" s="95">
        <v>29179.66</v>
      </c>
      <c r="F34" s="29">
        <v>46059.66</v>
      </c>
      <c r="G34" s="32">
        <v>76867.56000000001</v>
      </c>
      <c r="H34" s="19">
        <f t="shared" si="3"/>
        <v>69180.804</v>
      </c>
      <c r="I34" s="20" t="s">
        <v>13</v>
      </c>
      <c r="J34" s="21" t="s">
        <v>32</v>
      </c>
    </row>
    <row r="35" ht="22.5" customHeight="1">
      <c r="A35" s="94" t="s">
        <v>264</v>
      </c>
      <c r="B35" s="15">
        <v>200.0</v>
      </c>
      <c r="C35" s="15" t="s">
        <v>31</v>
      </c>
      <c r="D35" s="29">
        <v>23400.0</v>
      </c>
      <c r="E35" s="95">
        <v>31440.47</v>
      </c>
      <c r="F35" s="29">
        <v>54840.47</v>
      </c>
      <c r="G35" s="32">
        <v>84958.33500000002</v>
      </c>
      <c r="H35" s="19">
        <f t="shared" si="3"/>
        <v>76462.5015</v>
      </c>
      <c r="I35" s="20" t="s">
        <v>13</v>
      </c>
      <c r="J35" s="21" t="s">
        <v>32</v>
      </c>
    </row>
    <row r="36">
      <c r="A36" s="7"/>
      <c r="B36" s="7"/>
      <c r="C36" s="7"/>
      <c r="D36" s="7"/>
      <c r="E36" s="7"/>
      <c r="F36" s="7"/>
      <c r="I36" s="37"/>
    </row>
    <row r="37">
      <c r="A37" s="7"/>
      <c r="B37" s="7"/>
      <c r="C37" s="7"/>
      <c r="D37" s="7"/>
      <c r="E37" s="7"/>
      <c r="F37" s="7"/>
      <c r="I37" s="36"/>
      <c r="J37" s="7"/>
    </row>
    <row r="38">
      <c r="A38" s="7"/>
      <c r="B38" s="7"/>
      <c r="C38" s="7"/>
      <c r="D38" s="7"/>
      <c r="E38" s="7"/>
      <c r="F38" s="7"/>
      <c r="G38" s="36"/>
      <c r="H38" s="7"/>
      <c r="I38" s="37"/>
    </row>
    <row r="39" ht="22.5" customHeight="1">
      <c r="A39" s="8" t="s">
        <v>45</v>
      </c>
      <c r="B39" s="93" t="s">
        <v>2</v>
      </c>
      <c r="C39" s="10" t="s">
        <v>3</v>
      </c>
      <c r="D39" s="8" t="s">
        <v>4</v>
      </c>
      <c r="E39" s="11" t="s">
        <v>5</v>
      </c>
      <c r="F39" s="12" t="s">
        <v>6</v>
      </c>
      <c r="G39" s="12" t="s">
        <v>248</v>
      </c>
      <c r="H39" s="12" t="s">
        <v>20</v>
      </c>
      <c r="I39" s="13" t="s">
        <v>9</v>
      </c>
      <c r="J39" s="10" t="s">
        <v>10</v>
      </c>
    </row>
    <row r="40" ht="22.5" customHeight="1">
      <c r="A40" s="94" t="s">
        <v>46</v>
      </c>
      <c r="B40" s="96">
        <v>60.0</v>
      </c>
      <c r="C40" s="15" t="s">
        <v>12</v>
      </c>
      <c r="D40" s="29">
        <v>9280.0</v>
      </c>
      <c r="E40" s="95">
        <v>21755.71</v>
      </c>
      <c r="F40" s="29">
        <v>31035.71</v>
      </c>
      <c r="G40" s="32">
        <v>50300.25000000001</v>
      </c>
      <c r="H40" s="19">
        <f t="shared" ref="H40:H47" si="4">G40*0.9</f>
        <v>45270.225</v>
      </c>
      <c r="I40" s="20" t="s">
        <v>13</v>
      </c>
      <c r="J40" s="21" t="s">
        <v>47</v>
      </c>
    </row>
    <row r="41" ht="22.5" customHeight="1">
      <c r="A41" s="94" t="s">
        <v>46</v>
      </c>
      <c r="B41" s="96">
        <v>60.0</v>
      </c>
      <c r="C41" s="15" t="s">
        <v>12</v>
      </c>
      <c r="D41" s="29">
        <v>9470.0</v>
      </c>
      <c r="E41" s="95">
        <v>21755.71</v>
      </c>
      <c r="F41" s="29">
        <v>31225.71</v>
      </c>
      <c r="G41" s="32">
        <v>50300.25000000001</v>
      </c>
      <c r="H41" s="19">
        <f t="shared" si="4"/>
        <v>45270.225</v>
      </c>
      <c r="I41" s="20" t="s">
        <v>13</v>
      </c>
      <c r="J41" s="21" t="s">
        <v>47</v>
      </c>
    </row>
    <row r="42" ht="22.5" customHeight="1">
      <c r="A42" s="94" t="s">
        <v>50</v>
      </c>
      <c r="B42" s="96">
        <v>90.0</v>
      </c>
      <c r="C42" s="15" t="s">
        <v>12</v>
      </c>
      <c r="D42" s="29">
        <v>11270.0</v>
      </c>
      <c r="E42" s="95">
        <v>24049.02</v>
      </c>
      <c r="F42" s="29">
        <v>35319.02</v>
      </c>
      <c r="G42" s="32">
        <v>58506.52500000001</v>
      </c>
      <c r="H42" s="19">
        <f t="shared" si="4"/>
        <v>52655.8725</v>
      </c>
      <c r="I42" s="20" t="s">
        <v>13</v>
      </c>
      <c r="J42" s="21" t="s">
        <v>47</v>
      </c>
    </row>
    <row r="43" ht="22.5" customHeight="1">
      <c r="A43" s="94" t="s">
        <v>51</v>
      </c>
      <c r="B43" s="96">
        <v>100.0</v>
      </c>
      <c r="C43" s="15" t="s">
        <v>12</v>
      </c>
      <c r="D43" s="29">
        <v>11758.0</v>
      </c>
      <c r="E43" s="95">
        <v>24419.83</v>
      </c>
      <c r="F43" s="29">
        <v>36177.83</v>
      </c>
      <c r="G43" s="32">
        <v>59833.62</v>
      </c>
      <c r="H43" s="19">
        <f t="shared" si="4"/>
        <v>53850.258</v>
      </c>
      <c r="I43" s="20" t="s">
        <v>13</v>
      </c>
      <c r="J43" s="21" t="s">
        <v>47</v>
      </c>
    </row>
    <row r="44" ht="22.5" customHeight="1">
      <c r="A44" s="94" t="s">
        <v>52</v>
      </c>
      <c r="B44" s="96">
        <v>110.0</v>
      </c>
      <c r="C44" s="15" t="s">
        <v>12</v>
      </c>
      <c r="D44" s="29">
        <v>12265.0</v>
      </c>
      <c r="E44" s="95">
        <v>24872.94</v>
      </c>
      <c r="F44" s="29">
        <v>37137.94</v>
      </c>
      <c r="G44" s="32">
        <v>61455.240000000005</v>
      </c>
      <c r="H44" s="19">
        <f t="shared" si="4"/>
        <v>55309.716</v>
      </c>
      <c r="I44" s="20" t="s">
        <v>13</v>
      </c>
      <c r="J44" s="21" t="s">
        <v>47</v>
      </c>
    </row>
    <row r="45" ht="22.5" customHeight="1">
      <c r="A45" s="94" t="s">
        <v>53</v>
      </c>
      <c r="B45" s="96">
        <v>120.0</v>
      </c>
      <c r="C45" s="15" t="s">
        <v>12</v>
      </c>
      <c r="D45" s="29">
        <v>12772.0</v>
      </c>
      <c r="E45" s="95">
        <v>25326.05</v>
      </c>
      <c r="F45" s="29">
        <v>38098.05</v>
      </c>
      <c r="G45" s="32">
        <v>63076.86000000001</v>
      </c>
      <c r="H45" s="19">
        <f t="shared" si="4"/>
        <v>56769.174</v>
      </c>
      <c r="I45" s="20" t="s">
        <v>13</v>
      </c>
      <c r="J45" s="21" t="s">
        <v>47</v>
      </c>
    </row>
    <row r="46" ht="22.5" customHeight="1">
      <c r="A46" s="94" t="s">
        <v>54</v>
      </c>
      <c r="B46" s="96">
        <v>130.0</v>
      </c>
      <c r="C46" s="15" t="s">
        <v>12</v>
      </c>
      <c r="D46" s="29">
        <v>13260.0</v>
      </c>
      <c r="E46" s="95">
        <v>25779.16</v>
      </c>
      <c r="F46" s="29">
        <v>39039.16</v>
      </c>
      <c r="G46" s="32">
        <v>64698.48000000001</v>
      </c>
      <c r="H46" s="19">
        <f t="shared" si="4"/>
        <v>58228.632</v>
      </c>
      <c r="I46" s="20" t="s">
        <v>13</v>
      </c>
      <c r="J46" s="21" t="s">
        <v>47</v>
      </c>
    </row>
    <row r="47" ht="22.5" customHeight="1">
      <c r="A47" s="94" t="s">
        <v>55</v>
      </c>
      <c r="B47" s="96">
        <v>140.0</v>
      </c>
      <c r="C47" s="15" t="s">
        <v>12</v>
      </c>
      <c r="D47" s="29">
        <v>13805.0</v>
      </c>
      <c r="E47" s="95">
        <v>26232.28</v>
      </c>
      <c r="F47" s="29">
        <v>40037.28</v>
      </c>
      <c r="G47" s="32">
        <v>66320.1</v>
      </c>
      <c r="H47" s="19">
        <f t="shared" si="4"/>
        <v>59688.09</v>
      </c>
      <c r="I47" s="20" t="s">
        <v>13</v>
      </c>
      <c r="J47" s="21" t="s">
        <v>47</v>
      </c>
    </row>
    <row r="48">
      <c r="A48" s="7"/>
      <c r="B48" s="7"/>
      <c r="C48" s="7"/>
      <c r="E48" s="7"/>
      <c r="F48" s="7"/>
      <c r="G48" s="36"/>
      <c r="H48" s="37"/>
    </row>
    <row r="49">
      <c r="A49" s="7"/>
      <c r="B49" s="7"/>
      <c r="C49" s="7"/>
      <c r="E49" s="7"/>
      <c r="F49" s="7"/>
      <c r="G49" s="36"/>
      <c r="H49" s="37"/>
    </row>
    <row r="50" ht="22.5" customHeight="1">
      <c r="A50" s="8" t="s">
        <v>59</v>
      </c>
      <c r="B50" s="9" t="s">
        <v>60</v>
      </c>
      <c r="C50" s="93" t="s">
        <v>61</v>
      </c>
      <c r="D50" s="10" t="s">
        <v>3</v>
      </c>
      <c r="E50" s="8" t="s">
        <v>4</v>
      </c>
      <c r="F50" s="11" t="s">
        <v>5</v>
      </c>
      <c r="G50" s="12" t="s">
        <v>6</v>
      </c>
      <c r="H50" s="12" t="s">
        <v>248</v>
      </c>
      <c r="I50" s="12" t="s">
        <v>20</v>
      </c>
      <c r="J50" s="13" t="s">
        <v>9</v>
      </c>
      <c r="K50" s="10" t="s">
        <v>10</v>
      </c>
    </row>
    <row r="51" ht="22.5" customHeight="1">
      <c r="A51" s="94" t="s">
        <v>265</v>
      </c>
      <c r="B51" s="96">
        <v>160.0</v>
      </c>
      <c r="C51" s="15">
        <v>280.0</v>
      </c>
      <c r="D51" s="15" t="s">
        <v>31</v>
      </c>
      <c r="E51" s="29">
        <v>26110.0</v>
      </c>
      <c r="F51" s="95">
        <v>36138.16</v>
      </c>
      <c r="G51" s="29">
        <v>62248.16</v>
      </c>
      <c r="H51" s="32">
        <v>101769.36000000002</v>
      </c>
      <c r="I51" s="19">
        <f t="shared" ref="I51:I116" si="5">H51*0.9</f>
        <v>91592.424</v>
      </c>
      <c r="J51" s="20" t="s">
        <v>63</v>
      </c>
      <c r="K51" s="21" t="s">
        <v>47</v>
      </c>
    </row>
    <row r="52" ht="22.5" customHeight="1">
      <c r="A52" s="94" t="s">
        <v>80</v>
      </c>
      <c r="B52" s="96">
        <v>160.0</v>
      </c>
      <c r="C52" s="15">
        <v>260.0</v>
      </c>
      <c r="D52" s="15" t="s">
        <v>31</v>
      </c>
      <c r="E52" s="29">
        <v>22760.0</v>
      </c>
      <c r="F52" s="95">
        <v>30129.04</v>
      </c>
      <c r="G52" s="29">
        <v>52889.04</v>
      </c>
      <c r="H52" s="32">
        <v>80265.57</v>
      </c>
      <c r="I52" s="19">
        <f t="shared" si="5"/>
        <v>72239.013</v>
      </c>
      <c r="J52" s="20" t="s">
        <v>63</v>
      </c>
      <c r="K52" s="21" t="s">
        <v>47</v>
      </c>
    </row>
    <row r="53" ht="22.5" customHeight="1">
      <c r="A53" s="94" t="s">
        <v>266</v>
      </c>
      <c r="B53" s="96">
        <v>180.0</v>
      </c>
      <c r="C53" s="15">
        <v>230.0</v>
      </c>
      <c r="D53" s="15" t="s">
        <v>31</v>
      </c>
      <c r="E53" s="29">
        <v>25010.0</v>
      </c>
      <c r="F53" s="95">
        <v>32258.66</v>
      </c>
      <c r="G53" s="29">
        <v>57268.66</v>
      </c>
      <c r="H53" s="32">
        <v>87886.26000000001</v>
      </c>
      <c r="I53" s="19">
        <f t="shared" si="5"/>
        <v>79097.634</v>
      </c>
      <c r="J53" s="20" t="s">
        <v>63</v>
      </c>
      <c r="K53" s="21" t="s">
        <v>47</v>
      </c>
    </row>
    <row r="54" ht="22.5" customHeight="1">
      <c r="A54" s="94" t="s">
        <v>67</v>
      </c>
      <c r="B54" s="96">
        <v>150.0</v>
      </c>
      <c r="C54" s="15">
        <v>300.0</v>
      </c>
      <c r="D54" s="15" t="s">
        <v>31</v>
      </c>
      <c r="E54" s="29">
        <v>29510.0</v>
      </c>
      <c r="F54" s="95">
        <v>33345.51</v>
      </c>
      <c r="G54" s="29">
        <v>62855.51</v>
      </c>
      <c r="H54" s="32">
        <v>91775.14500000002</v>
      </c>
      <c r="I54" s="19">
        <f t="shared" si="5"/>
        <v>82597.6305</v>
      </c>
      <c r="J54" s="20" t="s">
        <v>63</v>
      </c>
      <c r="K54" s="21" t="s">
        <v>47</v>
      </c>
    </row>
    <row r="55" ht="22.5" customHeight="1">
      <c r="A55" s="94" t="s">
        <v>267</v>
      </c>
      <c r="B55" s="96">
        <v>140.0</v>
      </c>
      <c r="C55" s="15">
        <v>310.0</v>
      </c>
      <c r="D55" s="15" t="s">
        <v>31</v>
      </c>
      <c r="E55" s="29">
        <v>24110.0</v>
      </c>
      <c r="F55" s="95">
        <v>32258.66</v>
      </c>
      <c r="G55" s="29">
        <v>56368.66</v>
      </c>
      <c r="H55" s="32">
        <v>87886.26000000001</v>
      </c>
      <c r="I55" s="19">
        <f t="shared" si="5"/>
        <v>79097.634</v>
      </c>
      <c r="J55" s="20" t="s">
        <v>63</v>
      </c>
      <c r="K55" s="21" t="s">
        <v>47</v>
      </c>
    </row>
    <row r="56" ht="22.5" customHeight="1">
      <c r="A56" s="94" t="s">
        <v>81</v>
      </c>
      <c r="B56" s="96">
        <v>140.0</v>
      </c>
      <c r="C56" s="15">
        <v>260.0</v>
      </c>
      <c r="D56" s="15" t="s">
        <v>31</v>
      </c>
      <c r="E56" s="29">
        <v>21670.0</v>
      </c>
      <c r="F56" s="95">
        <v>30094.51</v>
      </c>
      <c r="G56" s="29">
        <v>51764.51</v>
      </c>
      <c r="H56" s="32">
        <v>80141.98500000002</v>
      </c>
      <c r="I56" s="19">
        <f t="shared" si="5"/>
        <v>72127.7865</v>
      </c>
      <c r="J56" s="20" t="s">
        <v>63</v>
      </c>
      <c r="K56" s="21" t="s">
        <v>47</v>
      </c>
    </row>
    <row r="57" ht="22.5" customHeight="1">
      <c r="A57" s="94" t="s">
        <v>268</v>
      </c>
      <c r="B57" s="96">
        <v>140.0</v>
      </c>
      <c r="C57" s="15">
        <v>240.0</v>
      </c>
      <c r="D57" s="15" t="s">
        <v>31</v>
      </c>
      <c r="E57" s="29">
        <v>20770.0</v>
      </c>
      <c r="F57" s="95">
        <v>28815.01</v>
      </c>
      <c r="G57" s="29">
        <v>49585.01</v>
      </c>
      <c r="H57" s="32">
        <v>75562.41000000002</v>
      </c>
      <c r="I57" s="19">
        <f t="shared" si="5"/>
        <v>68006.169</v>
      </c>
      <c r="J57" s="20" t="s">
        <v>63</v>
      </c>
      <c r="K57" s="21" t="s">
        <v>47</v>
      </c>
    </row>
    <row r="58" ht="22.5" customHeight="1">
      <c r="A58" s="94" t="s">
        <v>269</v>
      </c>
      <c r="B58" s="96">
        <v>140.0</v>
      </c>
      <c r="C58" s="15">
        <v>190.0</v>
      </c>
      <c r="D58" s="15" t="s">
        <v>31</v>
      </c>
      <c r="E58" s="29">
        <v>17880.0</v>
      </c>
      <c r="F58" s="95">
        <v>26911.94</v>
      </c>
      <c r="G58" s="29">
        <v>44791.94</v>
      </c>
      <c r="H58" s="32">
        <v>68752.53000000001</v>
      </c>
      <c r="I58" s="19">
        <f t="shared" si="5"/>
        <v>61877.277</v>
      </c>
      <c r="J58" s="20" t="s">
        <v>63</v>
      </c>
      <c r="K58" s="21" t="s">
        <v>47</v>
      </c>
    </row>
    <row r="59" ht="22.5" customHeight="1">
      <c r="A59" s="94" t="s">
        <v>270</v>
      </c>
      <c r="B59" s="96">
        <v>100.0</v>
      </c>
      <c r="C59" s="15">
        <v>340.0</v>
      </c>
      <c r="D59" s="15" t="s">
        <v>31</v>
      </c>
      <c r="E59" s="29">
        <v>23210.0</v>
      </c>
      <c r="F59" s="95">
        <v>30475.13</v>
      </c>
      <c r="G59" s="29">
        <v>53685.13</v>
      </c>
      <c r="H59" s="32">
        <v>81503.73000000001</v>
      </c>
      <c r="I59" s="19">
        <f t="shared" si="5"/>
        <v>73353.357</v>
      </c>
      <c r="J59" s="20" t="s">
        <v>63</v>
      </c>
      <c r="K59" s="21" t="s">
        <v>47</v>
      </c>
    </row>
    <row r="60" ht="22.5" customHeight="1">
      <c r="A60" s="94" t="s">
        <v>271</v>
      </c>
      <c r="B60" s="96">
        <v>120.0</v>
      </c>
      <c r="C60" s="15">
        <v>400.0</v>
      </c>
      <c r="D60" s="15" t="s">
        <v>31</v>
      </c>
      <c r="E60" s="29">
        <v>26195.0</v>
      </c>
      <c r="F60" s="95">
        <v>33548.95</v>
      </c>
      <c r="G60" s="29">
        <v>59743.95</v>
      </c>
      <c r="H60" s="32">
        <v>92503.95</v>
      </c>
      <c r="I60" s="19">
        <f t="shared" si="5"/>
        <v>83253.555</v>
      </c>
      <c r="J60" s="20" t="s">
        <v>63</v>
      </c>
      <c r="K60" s="21" t="s">
        <v>47</v>
      </c>
    </row>
    <row r="61" ht="22.5" customHeight="1">
      <c r="A61" s="94" t="s">
        <v>87</v>
      </c>
      <c r="B61" s="96">
        <v>120.0</v>
      </c>
      <c r="C61" s="15">
        <v>300.0</v>
      </c>
      <c r="D61" s="15" t="s">
        <v>31</v>
      </c>
      <c r="E61" s="29">
        <v>21410.0</v>
      </c>
      <c r="F61" s="95">
        <v>29993.1</v>
      </c>
      <c r="G61" s="29">
        <v>51403.1</v>
      </c>
      <c r="H61" s="32">
        <v>79778.16000000002</v>
      </c>
      <c r="I61" s="19">
        <f t="shared" si="5"/>
        <v>71800.344</v>
      </c>
      <c r="J61" s="20" t="s">
        <v>63</v>
      </c>
      <c r="K61" s="21" t="s">
        <v>47</v>
      </c>
    </row>
    <row r="62" ht="22.5" customHeight="1">
      <c r="A62" s="94" t="s">
        <v>88</v>
      </c>
      <c r="B62" s="96">
        <v>110.0</v>
      </c>
      <c r="C62" s="15">
        <v>300.0</v>
      </c>
      <c r="D62" s="15" t="s">
        <v>31</v>
      </c>
      <c r="E62" s="29">
        <v>21410.0</v>
      </c>
      <c r="F62" s="95">
        <v>29541.72</v>
      </c>
      <c r="G62" s="29">
        <v>50951.72</v>
      </c>
      <c r="H62" s="32">
        <v>78163.47000000002</v>
      </c>
      <c r="I62" s="19">
        <f t="shared" si="5"/>
        <v>70347.123</v>
      </c>
      <c r="J62" s="20" t="s">
        <v>63</v>
      </c>
      <c r="K62" s="21" t="s">
        <v>47</v>
      </c>
    </row>
    <row r="63" ht="22.5" customHeight="1">
      <c r="A63" s="94" t="s">
        <v>89</v>
      </c>
      <c r="B63" s="96">
        <v>100.0</v>
      </c>
      <c r="C63" s="15">
        <v>300.0</v>
      </c>
      <c r="D63" s="15" t="s">
        <v>31</v>
      </c>
      <c r="E63" s="29">
        <v>21220.0</v>
      </c>
      <c r="F63" s="95">
        <v>29308.26</v>
      </c>
      <c r="G63" s="29">
        <v>50528.26</v>
      </c>
      <c r="H63" s="32">
        <v>77327.25</v>
      </c>
      <c r="I63" s="19">
        <f t="shared" si="5"/>
        <v>69594.525</v>
      </c>
      <c r="J63" s="20" t="s">
        <v>63</v>
      </c>
      <c r="K63" s="21" t="s">
        <v>47</v>
      </c>
    </row>
    <row r="64" ht="22.5" customHeight="1">
      <c r="A64" s="94" t="s">
        <v>272</v>
      </c>
      <c r="B64" s="96">
        <v>100.0</v>
      </c>
      <c r="C64" s="15">
        <v>257.0</v>
      </c>
      <c r="D64" s="15" t="s">
        <v>31</v>
      </c>
      <c r="E64" s="29">
        <v>18420.0</v>
      </c>
      <c r="F64" s="95">
        <v>27636.92</v>
      </c>
      <c r="G64" s="29">
        <v>46056.92</v>
      </c>
      <c r="H64" s="32">
        <v>71346.66000000002</v>
      </c>
      <c r="I64" s="19">
        <f t="shared" si="5"/>
        <v>64211.994</v>
      </c>
      <c r="J64" s="20" t="s">
        <v>63</v>
      </c>
      <c r="K64" s="21" t="s">
        <v>47</v>
      </c>
    </row>
    <row r="65" ht="22.5" customHeight="1">
      <c r="A65" s="94" t="s">
        <v>273</v>
      </c>
      <c r="B65" s="96">
        <v>110.0</v>
      </c>
      <c r="C65" s="15">
        <v>250.0</v>
      </c>
      <c r="D65" s="15" t="s">
        <v>31</v>
      </c>
      <c r="E65" s="29">
        <v>17970.0</v>
      </c>
      <c r="F65" s="95">
        <v>30263.12</v>
      </c>
      <c r="G65" s="29">
        <v>48233.12</v>
      </c>
      <c r="H65" s="32">
        <v>80744.89500000002</v>
      </c>
      <c r="I65" s="19">
        <f t="shared" si="5"/>
        <v>72670.4055</v>
      </c>
      <c r="J65" s="20" t="s">
        <v>63</v>
      </c>
      <c r="K65" s="21" t="s">
        <v>47</v>
      </c>
    </row>
    <row r="66" ht="22.5" customHeight="1">
      <c r="A66" s="94" t="s">
        <v>99</v>
      </c>
      <c r="B66" s="96">
        <v>120.0</v>
      </c>
      <c r="C66" s="15">
        <v>240.0</v>
      </c>
      <c r="D66" s="15" t="s">
        <v>31</v>
      </c>
      <c r="E66" s="29">
        <v>18610.0</v>
      </c>
      <c r="F66" s="95">
        <v>29588.32</v>
      </c>
      <c r="G66" s="29">
        <v>48198.32</v>
      </c>
      <c r="H66" s="32">
        <v>78329.79000000001</v>
      </c>
      <c r="I66" s="19">
        <f t="shared" si="5"/>
        <v>70496.811</v>
      </c>
      <c r="J66" s="20" t="s">
        <v>63</v>
      </c>
      <c r="K66" s="21" t="s">
        <v>47</v>
      </c>
    </row>
    <row r="67" ht="22.5" customHeight="1">
      <c r="A67" s="94" t="s">
        <v>101</v>
      </c>
      <c r="B67" s="96">
        <v>100.0</v>
      </c>
      <c r="C67" s="15">
        <v>240.0</v>
      </c>
      <c r="D67" s="15" t="s">
        <v>31</v>
      </c>
      <c r="E67" s="29">
        <v>18870.0</v>
      </c>
      <c r="F67" s="95">
        <v>29212.46</v>
      </c>
      <c r="G67" s="29">
        <v>48082.46</v>
      </c>
      <c r="H67" s="32">
        <v>76985.37000000001</v>
      </c>
      <c r="I67" s="19">
        <f t="shared" si="5"/>
        <v>69286.833</v>
      </c>
      <c r="J67" s="20" t="s">
        <v>63</v>
      </c>
      <c r="K67" s="21" t="s">
        <v>47</v>
      </c>
    </row>
    <row r="68" ht="22.5" customHeight="1">
      <c r="A68" s="94" t="s">
        <v>103</v>
      </c>
      <c r="B68" s="96">
        <v>90.0</v>
      </c>
      <c r="C68" s="15">
        <v>230.0</v>
      </c>
      <c r="D68" s="15" t="s">
        <v>31</v>
      </c>
      <c r="E68" s="29">
        <v>17070.0</v>
      </c>
      <c r="F68" s="95">
        <v>27252.42</v>
      </c>
      <c r="G68" s="29">
        <v>44322.42</v>
      </c>
      <c r="H68" s="32">
        <v>69971.05500000001</v>
      </c>
      <c r="I68" s="19">
        <f t="shared" si="5"/>
        <v>62973.9495</v>
      </c>
      <c r="J68" s="20" t="s">
        <v>63</v>
      </c>
      <c r="K68" s="21" t="s">
        <v>47</v>
      </c>
    </row>
    <row r="69" ht="22.5" customHeight="1">
      <c r="A69" s="94" t="s">
        <v>274</v>
      </c>
      <c r="B69" s="96">
        <v>120.0</v>
      </c>
      <c r="C69" s="15">
        <v>220.0</v>
      </c>
      <c r="D69" s="15" t="s">
        <v>31</v>
      </c>
      <c r="E69" s="29">
        <v>17520.0</v>
      </c>
      <c r="F69" s="95">
        <v>29135.21</v>
      </c>
      <c r="G69" s="29">
        <v>46655.21</v>
      </c>
      <c r="H69" s="32">
        <v>76708.17000000001</v>
      </c>
      <c r="I69" s="19">
        <f t="shared" si="5"/>
        <v>69037.353</v>
      </c>
      <c r="J69" s="20" t="s">
        <v>63</v>
      </c>
      <c r="K69" s="21" t="s">
        <v>47</v>
      </c>
    </row>
    <row r="70" ht="22.5" customHeight="1">
      <c r="A70" s="94" t="s">
        <v>275</v>
      </c>
      <c r="B70" s="96">
        <v>110.0</v>
      </c>
      <c r="C70" s="15">
        <v>220.0</v>
      </c>
      <c r="D70" s="15" t="s">
        <v>31</v>
      </c>
      <c r="E70" s="29">
        <v>17520.0</v>
      </c>
      <c r="F70" s="95">
        <v>28587.16</v>
      </c>
      <c r="G70" s="29">
        <v>46107.16</v>
      </c>
      <c r="H70" s="32">
        <v>74746.98000000001</v>
      </c>
      <c r="I70" s="19">
        <f t="shared" si="5"/>
        <v>67272.282</v>
      </c>
      <c r="J70" s="20" t="s">
        <v>63</v>
      </c>
      <c r="K70" s="21" t="s">
        <v>47</v>
      </c>
    </row>
    <row r="71" ht="22.5" customHeight="1">
      <c r="A71" s="94" t="s">
        <v>276</v>
      </c>
      <c r="B71" s="96">
        <v>100.0</v>
      </c>
      <c r="C71" s="15">
        <v>220.0</v>
      </c>
      <c r="D71" s="15" t="s">
        <v>31</v>
      </c>
      <c r="E71" s="29">
        <v>17520.0</v>
      </c>
      <c r="F71" s="95">
        <v>28353.7</v>
      </c>
      <c r="G71" s="29">
        <v>45873.7</v>
      </c>
      <c r="H71" s="32">
        <v>73911.91500000001</v>
      </c>
      <c r="I71" s="19">
        <f t="shared" si="5"/>
        <v>66520.7235</v>
      </c>
      <c r="J71" s="20" t="s">
        <v>63</v>
      </c>
      <c r="K71" s="21" t="s">
        <v>47</v>
      </c>
    </row>
    <row r="72" ht="22.5" customHeight="1">
      <c r="A72" s="94" t="s">
        <v>277</v>
      </c>
      <c r="B72" s="96">
        <v>80.0</v>
      </c>
      <c r="C72" s="15">
        <v>210.0</v>
      </c>
      <c r="D72" s="15" t="s">
        <v>31</v>
      </c>
      <c r="E72" s="29">
        <v>16170.0</v>
      </c>
      <c r="F72" s="95">
        <v>25688.54</v>
      </c>
      <c r="G72" s="29">
        <v>41858.54</v>
      </c>
      <c r="H72" s="32">
        <v>64373.92500000001</v>
      </c>
      <c r="I72" s="19">
        <f t="shared" si="5"/>
        <v>57936.5325</v>
      </c>
      <c r="J72" s="20" t="s">
        <v>63</v>
      </c>
      <c r="K72" s="21" t="s">
        <v>47</v>
      </c>
    </row>
    <row r="73" ht="22.5" customHeight="1">
      <c r="A73" s="94" t="s">
        <v>278</v>
      </c>
      <c r="B73" s="96">
        <v>120.0</v>
      </c>
      <c r="C73" s="15">
        <v>200.0</v>
      </c>
      <c r="D73" s="15" t="s">
        <v>31</v>
      </c>
      <c r="E73" s="29">
        <v>15530.0</v>
      </c>
      <c r="F73" s="95">
        <v>25854.68</v>
      </c>
      <c r="G73" s="29">
        <v>41384.68</v>
      </c>
      <c r="H73" s="32">
        <v>64968.75000000001</v>
      </c>
      <c r="I73" s="19">
        <f t="shared" si="5"/>
        <v>58471.875</v>
      </c>
      <c r="J73" s="20" t="s">
        <v>63</v>
      </c>
      <c r="K73" s="21" t="s">
        <v>47</v>
      </c>
    </row>
    <row r="74" ht="22.5" customHeight="1">
      <c r="A74" s="94" t="s">
        <v>110</v>
      </c>
      <c r="B74" s="96">
        <v>100.0</v>
      </c>
      <c r="C74" s="15">
        <v>200.0</v>
      </c>
      <c r="D74" s="15" t="s">
        <v>31</v>
      </c>
      <c r="E74" s="29">
        <v>15530.0</v>
      </c>
      <c r="F74" s="95">
        <v>25483.56</v>
      </c>
      <c r="G74" s="29">
        <v>41013.56</v>
      </c>
      <c r="H74" s="32">
        <v>63640.50000000001</v>
      </c>
      <c r="I74" s="19">
        <f t="shared" si="5"/>
        <v>57276.45</v>
      </c>
      <c r="J74" s="20" t="s">
        <v>63</v>
      </c>
      <c r="K74" s="21" t="s">
        <v>47</v>
      </c>
    </row>
    <row r="75" ht="22.5" customHeight="1">
      <c r="A75" s="94" t="s">
        <v>111</v>
      </c>
      <c r="B75" s="96">
        <v>90.0</v>
      </c>
      <c r="C75" s="15">
        <v>200.0</v>
      </c>
      <c r="D75" s="15" t="s">
        <v>31</v>
      </c>
      <c r="E75" s="29">
        <v>15530.0</v>
      </c>
      <c r="F75" s="95">
        <v>25507.3</v>
      </c>
      <c r="G75" s="29">
        <v>41037.3</v>
      </c>
      <c r="H75" s="32">
        <v>63725.97</v>
      </c>
      <c r="I75" s="19">
        <f t="shared" si="5"/>
        <v>57353.373</v>
      </c>
      <c r="J75" s="20" t="s">
        <v>63</v>
      </c>
      <c r="K75" s="21" t="s">
        <v>47</v>
      </c>
    </row>
    <row r="76" ht="22.5" customHeight="1">
      <c r="A76" s="94" t="s">
        <v>112</v>
      </c>
      <c r="B76" s="96">
        <v>80.0</v>
      </c>
      <c r="C76" s="15">
        <v>200.0</v>
      </c>
      <c r="D76" s="15" t="s">
        <v>31</v>
      </c>
      <c r="E76" s="29">
        <v>15530.0</v>
      </c>
      <c r="F76" s="95">
        <v>25371.36</v>
      </c>
      <c r="G76" s="29">
        <v>40901.36</v>
      </c>
      <c r="H76" s="32">
        <v>63238.560000000005</v>
      </c>
      <c r="I76" s="19">
        <f t="shared" si="5"/>
        <v>56914.704</v>
      </c>
      <c r="J76" s="20" t="s">
        <v>63</v>
      </c>
      <c r="K76" s="21" t="s">
        <v>47</v>
      </c>
    </row>
    <row r="77" ht="22.5" customHeight="1">
      <c r="A77" s="94" t="s">
        <v>279</v>
      </c>
      <c r="B77" s="96">
        <v>110.0</v>
      </c>
      <c r="C77" s="15">
        <v>190.0</v>
      </c>
      <c r="D77" s="15" t="s">
        <v>31</v>
      </c>
      <c r="E77" s="29">
        <v>14890.0</v>
      </c>
      <c r="F77" s="95">
        <v>25537.07</v>
      </c>
      <c r="G77" s="29">
        <v>40427.07</v>
      </c>
      <c r="H77" s="32">
        <v>63832.23000000001</v>
      </c>
      <c r="I77" s="19">
        <f t="shared" si="5"/>
        <v>57449.007</v>
      </c>
      <c r="J77" s="20" t="s">
        <v>63</v>
      </c>
      <c r="K77" s="21" t="s">
        <v>47</v>
      </c>
    </row>
    <row r="78" ht="22.5" customHeight="1">
      <c r="A78" s="94" t="s">
        <v>114</v>
      </c>
      <c r="B78" s="96">
        <v>90.0</v>
      </c>
      <c r="C78" s="15">
        <v>190.0</v>
      </c>
      <c r="D78" s="15" t="s">
        <v>31</v>
      </c>
      <c r="E78" s="29">
        <v>14890.0</v>
      </c>
      <c r="F78" s="95">
        <v>25387.76</v>
      </c>
      <c r="G78" s="29">
        <v>40277.76</v>
      </c>
      <c r="H78" s="32">
        <v>63297.465000000004</v>
      </c>
      <c r="I78" s="19">
        <f t="shared" si="5"/>
        <v>56967.7185</v>
      </c>
      <c r="J78" s="20" t="s">
        <v>63</v>
      </c>
      <c r="K78" s="21" t="s">
        <v>47</v>
      </c>
    </row>
    <row r="79" ht="22.5" customHeight="1">
      <c r="A79" s="94" t="s">
        <v>280</v>
      </c>
      <c r="B79" s="96">
        <v>120.0</v>
      </c>
      <c r="C79" s="15">
        <v>180.0</v>
      </c>
      <c r="D79" s="15" t="s">
        <v>31</v>
      </c>
      <c r="E79" s="29">
        <v>14440.0</v>
      </c>
      <c r="F79" s="95">
        <v>25154.73</v>
      </c>
      <c r="G79" s="29">
        <v>39594.73</v>
      </c>
      <c r="H79" s="32">
        <v>62463.55500000001</v>
      </c>
      <c r="I79" s="19">
        <f t="shared" si="5"/>
        <v>56217.1995</v>
      </c>
      <c r="J79" s="20" t="s">
        <v>63</v>
      </c>
      <c r="K79" s="21" t="s">
        <v>47</v>
      </c>
    </row>
    <row r="80" ht="22.5" customHeight="1">
      <c r="A80" s="94" t="s">
        <v>281</v>
      </c>
      <c r="B80" s="96">
        <v>100.0</v>
      </c>
      <c r="C80" s="15">
        <v>180.0</v>
      </c>
      <c r="D80" s="15" t="s">
        <v>31</v>
      </c>
      <c r="E80" s="29">
        <v>14250.0</v>
      </c>
      <c r="F80" s="95">
        <v>24949.32</v>
      </c>
      <c r="G80" s="29">
        <v>39199.32</v>
      </c>
      <c r="H80" s="32">
        <v>61728.97500000001</v>
      </c>
      <c r="I80" s="19">
        <f t="shared" si="5"/>
        <v>55556.0775</v>
      </c>
      <c r="J80" s="20" t="s">
        <v>63</v>
      </c>
      <c r="K80" s="21" t="s">
        <v>47</v>
      </c>
    </row>
    <row r="81" ht="22.5" customHeight="1">
      <c r="A81" s="94" t="s">
        <v>116</v>
      </c>
      <c r="B81" s="96">
        <v>90.0</v>
      </c>
      <c r="C81" s="15">
        <v>180.0</v>
      </c>
      <c r="D81" s="15" t="s">
        <v>31</v>
      </c>
      <c r="E81" s="29">
        <v>14250.0</v>
      </c>
      <c r="F81" s="95">
        <v>24949.32</v>
      </c>
      <c r="G81" s="29">
        <v>39199.32</v>
      </c>
      <c r="H81" s="32">
        <v>61728.97500000001</v>
      </c>
      <c r="I81" s="19">
        <f t="shared" si="5"/>
        <v>55556.0775</v>
      </c>
      <c r="J81" s="20" t="s">
        <v>63</v>
      </c>
      <c r="K81" s="21" t="s">
        <v>47</v>
      </c>
    </row>
    <row r="82" ht="22.5" customHeight="1">
      <c r="A82" s="94" t="s">
        <v>117</v>
      </c>
      <c r="B82" s="96">
        <v>85.0</v>
      </c>
      <c r="C82" s="15">
        <v>180.0</v>
      </c>
      <c r="D82" s="15" t="s">
        <v>31</v>
      </c>
      <c r="E82" s="29">
        <v>14250.0</v>
      </c>
      <c r="F82" s="95">
        <v>24963.56</v>
      </c>
      <c r="G82" s="29">
        <v>39213.56</v>
      </c>
      <c r="H82" s="32">
        <v>61779.795000000006</v>
      </c>
      <c r="I82" s="19">
        <f t="shared" si="5"/>
        <v>55601.8155</v>
      </c>
      <c r="J82" s="20" t="s">
        <v>63</v>
      </c>
      <c r="K82" s="21" t="s">
        <v>47</v>
      </c>
    </row>
    <row r="83" ht="22.5" customHeight="1">
      <c r="A83" s="94" t="s">
        <v>118</v>
      </c>
      <c r="B83" s="96">
        <v>80.0</v>
      </c>
      <c r="C83" s="15">
        <v>180.0</v>
      </c>
      <c r="D83" s="15" t="s">
        <v>31</v>
      </c>
      <c r="E83" s="29">
        <v>14250.0</v>
      </c>
      <c r="F83" s="95">
        <v>24900.13</v>
      </c>
      <c r="G83" s="29">
        <v>39150.13</v>
      </c>
      <c r="H83" s="32">
        <v>61552.26000000001</v>
      </c>
      <c r="I83" s="19">
        <f t="shared" si="5"/>
        <v>55397.034</v>
      </c>
      <c r="J83" s="20" t="s">
        <v>63</v>
      </c>
      <c r="K83" s="21" t="s">
        <v>47</v>
      </c>
    </row>
    <row r="84" ht="22.5" customHeight="1">
      <c r="A84" s="94" t="s">
        <v>282</v>
      </c>
      <c r="B84" s="96">
        <v>100.0</v>
      </c>
      <c r="C84" s="15">
        <v>170.0</v>
      </c>
      <c r="D84" s="15" t="s">
        <v>31</v>
      </c>
      <c r="E84" s="29">
        <v>13800.0</v>
      </c>
      <c r="F84" s="95">
        <v>24963.56</v>
      </c>
      <c r="G84" s="29">
        <v>38763.56</v>
      </c>
      <c r="H84" s="32">
        <v>61779.795000000006</v>
      </c>
      <c r="I84" s="19">
        <f t="shared" si="5"/>
        <v>55601.8155</v>
      </c>
      <c r="J84" s="20" t="s">
        <v>63</v>
      </c>
      <c r="K84" s="21" t="s">
        <v>47</v>
      </c>
    </row>
    <row r="85" ht="22.5" customHeight="1">
      <c r="A85" s="94" t="s">
        <v>121</v>
      </c>
      <c r="B85" s="96">
        <v>90.0</v>
      </c>
      <c r="C85" s="15">
        <v>170.0</v>
      </c>
      <c r="D85" s="15" t="s">
        <v>31</v>
      </c>
      <c r="E85" s="29">
        <v>13800.0</v>
      </c>
      <c r="F85" s="95">
        <v>24734.42</v>
      </c>
      <c r="G85" s="29">
        <v>38534.42</v>
      </c>
      <c r="H85" s="32">
        <v>60959.745</v>
      </c>
      <c r="I85" s="19">
        <f t="shared" si="5"/>
        <v>54863.7705</v>
      </c>
      <c r="J85" s="20" t="s">
        <v>63</v>
      </c>
      <c r="K85" s="21" t="s">
        <v>47</v>
      </c>
    </row>
    <row r="86" ht="22.5" customHeight="1">
      <c r="A86" s="94" t="s">
        <v>283</v>
      </c>
      <c r="B86" s="96">
        <v>80.0</v>
      </c>
      <c r="C86" s="15">
        <v>170.0</v>
      </c>
      <c r="D86" s="15" t="s">
        <v>31</v>
      </c>
      <c r="E86" s="29">
        <v>13800.0</v>
      </c>
      <c r="F86" s="95">
        <v>24419.83</v>
      </c>
      <c r="G86" s="29">
        <v>38219.83</v>
      </c>
      <c r="H86" s="32">
        <v>59833.62</v>
      </c>
      <c r="I86" s="19">
        <f t="shared" si="5"/>
        <v>53850.258</v>
      </c>
      <c r="J86" s="20" t="s">
        <v>63</v>
      </c>
      <c r="K86" s="21" t="s">
        <v>47</v>
      </c>
    </row>
    <row r="87" ht="22.5" customHeight="1">
      <c r="A87" s="94" t="s">
        <v>122</v>
      </c>
      <c r="B87" s="96">
        <v>100.0</v>
      </c>
      <c r="C87" s="15">
        <v>160.0</v>
      </c>
      <c r="D87" s="15" t="s">
        <v>31</v>
      </c>
      <c r="E87" s="29">
        <v>13350.0</v>
      </c>
      <c r="F87" s="95">
        <v>24781.02</v>
      </c>
      <c r="G87" s="29">
        <v>38131.02</v>
      </c>
      <c r="H87" s="32">
        <v>61126.065</v>
      </c>
      <c r="I87" s="19">
        <f t="shared" si="5"/>
        <v>55013.4585</v>
      </c>
      <c r="J87" s="20" t="s">
        <v>63</v>
      </c>
      <c r="K87" s="21" t="s">
        <v>47</v>
      </c>
    </row>
    <row r="88" ht="22.5" customHeight="1">
      <c r="A88" s="94" t="s">
        <v>284</v>
      </c>
      <c r="B88" s="96">
        <v>95.0</v>
      </c>
      <c r="C88" s="15">
        <v>160.0</v>
      </c>
      <c r="D88" s="15" t="s">
        <v>31</v>
      </c>
      <c r="E88" s="29">
        <v>13350.0</v>
      </c>
      <c r="F88" s="95">
        <v>24918.25</v>
      </c>
      <c r="G88" s="29">
        <v>38268.25</v>
      </c>
      <c r="H88" s="32">
        <v>61618.095</v>
      </c>
      <c r="I88" s="19">
        <f t="shared" si="5"/>
        <v>55456.2855</v>
      </c>
      <c r="J88" s="20" t="s">
        <v>63</v>
      </c>
      <c r="K88" s="21" t="s">
        <v>47</v>
      </c>
    </row>
    <row r="89" ht="22.5" customHeight="1">
      <c r="A89" s="94" t="s">
        <v>123</v>
      </c>
      <c r="B89" s="96">
        <v>90.0</v>
      </c>
      <c r="C89" s="15">
        <v>160.0</v>
      </c>
      <c r="D89" s="15" t="s">
        <v>31</v>
      </c>
      <c r="E89" s="29">
        <v>13350.0</v>
      </c>
      <c r="F89" s="95">
        <v>24606.25</v>
      </c>
      <c r="G89" s="29">
        <v>37956.25</v>
      </c>
      <c r="H89" s="32">
        <v>60501.21000000001</v>
      </c>
      <c r="I89" s="19">
        <f t="shared" si="5"/>
        <v>54451.089</v>
      </c>
      <c r="J89" s="20" t="s">
        <v>63</v>
      </c>
      <c r="K89" s="21" t="s">
        <v>47</v>
      </c>
    </row>
    <row r="90" ht="22.5" customHeight="1">
      <c r="A90" s="94" t="s">
        <v>285</v>
      </c>
      <c r="B90" s="96">
        <v>85.0</v>
      </c>
      <c r="C90" s="15">
        <v>160.0</v>
      </c>
      <c r="D90" s="15" t="s">
        <v>31</v>
      </c>
      <c r="E90" s="29">
        <v>13350.0</v>
      </c>
      <c r="F90" s="95">
        <v>24594.6</v>
      </c>
      <c r="G90" s="29">
        <v>37944.6</v>
      </c>
      <c r="H90" s="32">
        <v>60459.63000000001</v>
      </c>
      <c r="I90" s="19">
        <f t="shared" si="5"/>
        <v>54413.667</v>
      </c>
      <c r="J90" s="20" t="s">
        <v>63</v>
      </c>
      <c r="K90" s="21" t="s">
        <v>47</v>
      </c>
    </row>
    <row r="91" ht="22.5" customHeight="1">
      <c r="A91" s="94" t="s">
        <v>124</v>
      </c>
      <c r="B91" s="96">
        <v>80.0</v>
      </c>
      <c r="C91" s="15">
        <v>160.0</v>
      </c>
      <c r="D91" s="15" t="s">
        <v>31</v>
      </c>
      <c r="E91" s="29">
        <v>13350.0</v>
      </c>
      <c r="F91" s="95">
        <v>24341.72</v>
      </c>
      <c r="G91" s="29">
        <v>37691.72</v>
      </c>
      <c r="H91" s="32">
        <v>59554.11000000001</v>
      </c>
      <c r="I91" s="19">
        <f t="shared" si="5"/>
        <v>53598.699</v>
      </c>
      <c r="J91" s="20" t="s">
        <v>63</v>
      </c>
      <c r="K91" s="21" t="s">
        <v>47</v>
      </c>
    </row>
    <row r="92" ht="22.5" customHeight="1">
      <c r="A92" s="94" t="s">
        <v>286</v>
      </c>
      <c r="B92" s="96">
        <v>60.0</v>
      </c>
      <c r="C92" s="15">
        <v>160.0</v>
      </c>
      <c r="D92" s="15" t="s">
        <v>31</v>
      </c>
      <c r="E92" s="29">
        <v>13350.0</v>
      </c>
      <c r="F92" s="95">
        <v>23941.26</v>
      </c>
      <c r="G92" s="29">
        <v>37291.26</v>
      </c>
      <c r="H92" s="32">
        <v>58120.75500000001</v>
      </c>
      <c r="I92" s="19">
        <f t="shared" si="5"/>
        <v>52308.6795</v>
      </c>
      <c r="J92" s="20" t="s">
        <v>63</v>
      </c>
      <c r="K92" s="21" t="s">
        <v>47</v>
      </c>
    </row>
    <row r="93" ht="22.5" customHeight="1">
      <c r="A93" s="94" t="s">
        <v>128</v>
      </c>
      <c r="B93" s="96">
        <v>100.0</v>
      </c>
      <c r="C93" s="15">
        <v>150.0</v>
      </c>
      <c r="D93" s="15" t="s">
        <v>31</v>
      </c>
      <c r="E93" s="29">
        <v>12900.0</v>
      </c>
      <c r="F93" s="95">
        <v>24555.76</v>
      </c>
      <c r="G93" s="29">
        <v>37455.76</v>
      </c>
      <c r="H93" s="32">
        <v>60319.87500000001</v>
      </c>
      <c r="I93" s="19">
        <f t="shared" si="5"/>
        <v>54287.8875</v>
      </c>
      <c r="J93" s="20" t="s">
        <v>63</v>
      </c>
      <c r="K93" s="21" t="s">
        <v>47</v>
      </c>
    </row>
    <row r="94" ht="22.5" customHeight="1">
      <c r="A94" s="94" t="s">
        <v>129</v>
      </c>
      <c r="B94" s="96">
        <v>90.0</v>
      </c>
      <c r="C94" s="15">
        <v>150.0</v>
      </c>
      <c r="D94" s="15" t="s">
        <v>31</v>
      </c>
      <c r="E94" s="29">
        <v>12900.0</v>
      </c>
      <c r="F94" s="95">
        <v>23941.26</v>
      </c>
      <c r="G94" s="29">
        <v>36841.26</v>
      </c>
      <c r="H94" s="32">
        <v>58120.75500000001</v>
      </c>
      <c r="I94" s="19">
        <f t="shared" si="5"/>
        <v>52308.6795</v>
      </c>
      <c r="J94" s="20" t="s">
        <v>63</v>
      </c>
      <c r="K94" s="21" t="s">
        <v>47</v>
      </c>
    </row>
    <row r="95" ht="22.5" customHeight="1">
      <c r="A95" s="94" t="s">
        <v>130</v>
      </c>
      <c r="B95" s="96">
        <v>80.0</v>
      </c>
      <c r="C95" s="15">
        <v>150.0</v>
      </c>
      <c r="D95" s="15" t="s">
        <v>31</v>
      </c>
      <c r="E95" s="29">
        <v>12900.0</v>
      </c>
      <c r="F95" s="95">
        <v>23621.06</v>
      </c>
      <c r="G95" s="29">
        <v>36521.06</v>
      </c>
      <c r="H95" s="32">
        <v>56974.995</v>
      </c>
      <c r="I95" s="19">
        <f t="shared" si="5"/>
        <v>51277.4955</v>
      </c>
      <c r="J95" s="20" t="s">
        <v>63</v>
      </c>
      <c r="K95" s="21" t="s">
        <v>47</v>
      </c>
    </row>
    <row r="96" ht="22.5" customHeight="1">
      <c r="A96" s="94" t="s">
        <v>131</v>
      </c>
      <c r="B96" s="96">
        <v>70.0</v>
      </c>
      <c r="C96" s="15">
        <v>150.0</v>
      </c>
      <c r="D96" s="15" t="s">
        <v>31</v>
      </c>
      <c r="E96" s="29">
        <v>12900.0</v>
      </c>
      <c r="F96" s="95">
        <v>23429.89</v>
      </c>
      <c r="G96" s="29">
        <v>36329.89</v>
      </c>
      <c r="H96" s="32">
        <v>56291.23500000001</v>
      </c>
      <c r="I96" s="19">
        <f t="shared" si="5"/>
        <v>50662.1115</v>
      </c>
      <c r="J96" s="20" t="s">
        <v>63</v>
      </c>
      <c r="K96" s="21" t="s">
        <v>47</v>
      </c>
    </row>
    <row r="97" ht="22.5" customHeight="1">
      <c r="A97" s="94" t="s">
        <v>134</v>
      </c>
      <c r="B97" s="96">
        <v>90.0</v>
      </c>
      <c r="C97" s="15">
        <v>140.0</v>
      </c>
      <c r="D97" s="15" t="s">
        <v>31</v>
      </c>
      <c r="E97" s="29">
        <v>12450.0</v>
      </c>
      <c r="F97" s="95">
        <v>23429.89</v>
      </c>
      <c r="G97" s="29">
        <v>35879.89</v>
      </c>
      <c r="H97" s="32">
        <v>56291.23500000001</v>
      </c>
      <c r="I97" s="19">
        <f t="shared" si="5"/>
        <v>50662.1115</v>
      </c>
      <c r="J97" s="20" t="s">
        <v>63</v>
      </c>
      <c r="K97" s="21" t="s">
        <v>47</v>
      </c>
    </row>
    <row r="98" ht="22.5" customHeight="1">
      <c r="A98" s="94" t="s">
        <v>135</v>
      </c>
      <c r="B98" s="96">
        <v>85.0</v>
      </c>
      <c r="C98" s="15">
        <v>140.0</v>
      </c>
      <c r="D98" s="15" t="s">
        <v>31</v>
      </c>
      <c r="E98" s="29">
        <v>12450.0</v>
      </c>
      <c r="F98" s="95">
        <v>23649.54</v>
      </c>
      <c r="G98" s="29">
        <v>36099.54</v>
      </c>
      <c r="H98" s="32">
        <v>57077.79000000001</v>
      </c>
      <c r="I98" s="19">
        <f t="shared" si="5"/>
        <v>51370.011</v>
      </c>
      <c r="J98" s="20" t="s">
        <v>63</v>
      </c>
      <c r="K98" s="21" t="s">
        <v>47</v>
      </c>
    </row>
    <row r="99" ht="22.5" customHeight="1">
      <c r="A99" s="94" t="s">
        <v>136</v>
      </c>
      <c r="B99" s="96">
        <v>80.0</v>
      </c>
      <c r="C99" s="15">
        <v>140.0</v>
      </c>
      <c r="D99" s="15" t="s">
        <v>31</v>
      </c>
      <c r="E99" s="29">
        <v>12450.0</v>
      </c>
      <c r="F99" s="95">
        <v>23356.53</v>
      </c>
      <c r="G99" s="29">
        <v>35806.53</v>
      </c>
      <c r="H99" s="32">
        <v>56029.05000000001</v>
      </c>
      <c r="I99" s="19">
        <f t="shared" si="5"/>
        <v>50426.145</v>
      </c>
      <c r="J99" s="20" t="s">
        <v>63</v>
      </c>
      <c r="K99" s="21" t="s">
        <v>47</v>
      </c>
    </row>
    <row r="100" ht="22.5" customHeight="1">
      <c r="A100" s="94" t="s">
        <v>137</v>
      </c>
      <c r="B100" s="96">
        <v>70.0</v>
      </c>
      <c r="C100" s="15">
        <v>140.0</v>
      </c>
      <c r="D100" s="15" t="s">
        <v>31</v>
      </c>
      <c r="E100" s="29">
        <v>12450.0</v>
      </c>
      <c r="F100" s="95">
        <v>22897.37</v>
      </c>
      <c r="G100" s="29">
        <v>35347.37</v>
      </c>
      <c r="H100" s="32">
        <v>54385.48500000001</v>
      </c>
      <c r="I100" s="19">
        <f t="shared" si="5"/>
        <v>48946.9365</v>
      </c>
      <c r="J100" s="20" t="s">
        <v>63</v>
      </c>
      <c r="K100" s="21" t="s">
        <v>47</v>
      </c>
    </row>
    <row r="101" ht="22.5" customHeight="1">
      <c r="A101" s="94" t="s">
        <v>287</v>
      </c>
      <c r="B101" s="96">
        <v>60.0</v>
      </c>
      <c r="C101" s="15">
        <v>140.0</v>
      </c>
      <c r="D101" s="15" t="s">
        <v>31</v>
      </c>
      <c r="E101" s="29">
        <v>12260.0</v>
      </c>
      <c r="F101" s="95">
        <v>22587.53</v>
      </c>
      <c r="G101" s="29">
        <v>34847.53</v>
      </c>
      <c r="H101" s="32">
        <v>53276.685000000005</v>
      </c>
      <c r="I101" s="19">
        <f t="shared" si="5"/>
        <v>47949.0165</v>
      </c>
      <c r="J101" s="20" t="s">
        <v>63</v>
      </c>
      <c r="K101" s="21" t="s">
        <v>47</v>
      </c>
    </row>
    <row r="102" ht="22.5" customHeight="1">
      <c r="A102" s="94" t="s">
        <v>288</v>
      </c>
      <c r="B102" s="96">
        <v>50.0</v>
      </c>
      <c r="C102" s="15">
        <v>140.0</v>
      </c>
      <c r="D102" s="15" t="s">
        <v>31</v>
      </c>
      <c r="E102" s="29">
        <v>12260.0</v>
      </c>
      <c r="F102" s="95">
        <v>20814.35</v>
      </c>
      <c r="G102" s="29">
        <v>33074.35</v>
      </c>
      <c r="H102" s="32">
        <v>46931.115000000005</v>
      </c>
      <c r="I102" s="19">
        <f t="shared" si="5"/>
        <v>42238.0035</v>
      </c>
      <c r="J102" s="20" t="s">
        <v>63</v>
      </c>
      <c r="K102" s="21" t="s">
        <v>47</v>
      </c>
    </row>
    <row r="103" ht="22.5" customHeight="1">
      <c r="A103" s="94" t="s">
        <v>138</v>
      </c>
      <c r="B103" s="96">
        <v>90.0</v>
      </c>
      <c r="C103" s="15">
        <v>130.0</v>
      </c>
      <c r="D103" s="15" t="s">
        <v>31</v>
      </c>
      <c r="E103" s="29">
        <v>11810.0</v>
      </c>
      <c r="F103" s="95">
        <v>23276.36</v>
      </c>
      <c r="G103" s="29">
        <v>35086.36</v>
      </c>
      <c r="H103" s="32">
        <v>55741.45500000001</v>
      </c>
      <c r="I103" s="19">
        <f t="shared" si="5"/>
        <v>50167.3095</v>
      </c>
      <c r="J103" s="20" t="s">
        <v>63</v>
      </c>
      <c r="K103" s="21" t="s">
        <v>47</v>
      </c>
    </row>
    <row r="104" ht="22.5" customHeight="1">
      <c r="A104" s="94" t="s">
        <v>139</v>
      </c>
      <c r="B104" s="96">
        <v>80.0</v>
      </c>
      <c r="C104" s="15">
        <v>130.0</v>
      </c>
      <c r="D104" s="15" t="s">
        <v>31</v>
      </c>
      <c r="E104" s="29">
        <v>11810.0</v>
      </c>
      <c r="F104" s="95">
        <v>22499.06</v>
      </c>
      <c r="G104" s="29">
        <v>34309.06</v>
      </c>
      <c r="H104" s="32">
        <v>52960.215000000004</v>
      </c>
      <c r="I104" s="19">
        <f t="shared" si="5"/>
        <v>47664.1935</v>
      </c>
      <c r="J104" s="20" t="s">
        <v>63</v>
      </c>
      <c r="K104" s="21" t="s">
        <v>47</v>
      </c>
    </row>
    <row r="105" ht="22.5" customHeight="1">
      <c r="A105" s="94" t="s">
        <v>140</v>
      </c>
      <c r="B105" s="96">
        <v>70.0</v>
      </c>
      <c r="C105" s="15">
        <v>130.0</v>
      </c>
      <c r="D105" s="15" t="s">
        <v>31</v>
      </c>
      <c r="E105" s="29">
        <v>11810.0</v>
      </c>
      <c r="F105" s="95">
        <v>22214.25</v>
      </c>
      <c r="G105" s="29">
        <v>34024.25</v>
      </c>
      <c r="H105" s="32">
        <v>51941.50500000001</v>
      </c>
      <c r="I105" s="19">
        <f t="shared" si="5"/>
        <v>46747.3545</v>
      </c>
      <c r="J105" s="20" t="s">
        <v>63</v>
      </c>
      <c r="K105" s="21" t="s">
        <v>47</v>
      </c>
    </row>
    <row r="106" ht="22.5" customHeight="1">
      <c r="A106" s="94" t="s">
        <v>141</v>
      </c>
      <c r="B106" s="96">
        <v>60.0</v>
      </c>
      <c r="C106" s="15">
        <v>130.0</v>
      </c>
      <c r="D106" s="15" t="s">
        <v>31</v>
      </c>
      <c r="E106" s="29">
        <v>11810.0</v>
      </c>
      <c r="F106" s="95">
        <v>21560.91</v>
      </c>
      <c r="G106" s="29">
        <v>33370.91</v>
      </c>
      <c r="H106" s="32">
        <v>49602.630000000005</v>
      </c>
      <c r="I106" s="19">
        <f t="shared" si="5"/>
        <v>44642.367</v>
      </c>
      <c r="J106" s="20" t="s">
        <v>63</v>
      </c>
      <c r="K106" s="21" t="s">
        <v>47</v>
      </c>
    </row>
    <row r="107" ht="22.5" customHeight="1">
      <c r="A107" s="94" t="s">
        <v>289</v>
      </c>
      <c r="B107" s="96">
        <v>85.0</v>
      </c>
      <c r="C107" s="15">
        <v>125.0</v>
      </c>
      <c r="D107" s="15" t="s">
        <v>31</v>
      </c>
      <c r="E107" s="29">
        <v>11585.0</v>
      </c>
      <c r="F107" s="95">
        <v>21920.11</v>
      </c>
      <c r="G107" s="29">
        <v>33505.11</v>
      </c>
      <c r="H107" s="32">
        <v>50888.145000000004</v>
      </c>
      <c r="I107" s="19">
        <f t="shared" si="5"/>
        <v>45799.3305</v>
      </c>
      <c r="J107" s="20" t="s">
        <v>63</v>
      </c>
      <c r="K107" s="21" t="s">
        <v>47</v>
      </c>
    </row>
    <row r="108" ht="22.5" customHeight="1">
      <c r="A108" s="94" t="s">
        <v>142</v>
      </c>
      <c r="B108" s="96">
        <v>90.0</v>
      </c>
      <c r="C108" s="15">
        <v>120.0</v>
      </c>
      <c r="D108" s="15" t="s">
        <v>31</v>
      </c>
      <c r="E108" s="29">
        <v>10010.0</v>
      </c>
      <c r="F108" s="95">
        <v>21701.16</v>
      </c>
      <c r="G108" s="29">
        <v>31711.16</v>
      </c>
      <c r="H108" s="32">
        <v>50105.05500000001</v>
      </c>
      <c r="I108" s="19">
        <f t="shared" si="5"/>
        <v>45094.5495</v>
      </c>
      <c r="J108" s="20" t="s">
        <v>63</v>
      </c>
      <c r="K108" s="21" t="s">
        <v>47</v>
      </c>
    </row>
    <row r="109" ht="22.5" customHeight="1">
      <c r="A109" s="94" t="s">
        <v>143</v>
      </c>
      <c r="B109" s="96">
        <v>80.0</v>
      </c>
      <c r="C109" s="15">
        <v>120.0</v>
      </c>
      <c r="D109" s="15" t="s">
        <v>31</v>
      </c>
      <c r="E109" s="29">
        <v>9560.0</v>
      </c>
      <c r="F109" s="95">
        <v>21764.16</v>
      </c>
      <c r="G109" s="29">
        <v>31324.16</v>
      </c>
      <c r="H109" s="32">
        <v>50330.280000000006</v>
      </c>
      <c r="I109" s="19">
        <f t="shared" si="5"/>
        <v>45297.252</v>
      </c>
      <c r="J109" s="20" t="s">
        <v>63</v>
      </c>
      <c r="K109" s="21" t="s">
        <v>47</v>
      </c>
    </row>
    <row r="110" ht="22.5" customHeight="1">
      <c r="A110" s="94" t="s">
        <v>144</v>
      </c>
      <c r="B110" s="96">
        <v>70.0</v>
      </c>
      <c r="C110" s="15">
        <v>120.0</v>
      </c>
      <c r="D110" s="15" t="s">
        <v>31</v>
      </c>
      <c r="E110" s="29">
        <v>9560.0</v>
      </c>
      <c r="F110" s="95">
        <v>21269.62</v>
      </c>
      <c r="G110" s="29">
        <v>30829.62</v>
      </c>
      <c r="H110" s="32">
        <v>48560.82000000001</v>
      </c>
      <c r="I110" s="19">
        <f t="shared" si="5"/>
        <v>43704.738</v>
      </c>
      <c r="J110" s="20" t="s">
        <v>63</v>
      </c>
      <c r="K110" s="21" t="s">
        <v>47</v>
      </c>
    </row>
    <row r="111" ht="22.5" customHeight="1">
      <c r="A111" s="94" t="s">
        <v>290</v>
      </c>
      <c r="B111" s="96">
        <v>60.0</v>
      </c>
      <c r="C111" s="15">
        <v>120.0</v>
      </c>
      <c r="D111" s="15" t="s">
        <v>31</v>
      </c>
      <c r="E111" s="29">
        <v>8660.0</v>
      </c>
      <c r="F111" s="95">
        <v>21187.63</v>
      </c>
      <c r="G111" s="29">
        <v>29847.63</v>
      </c>
      <c r="H111" s="32">
        <v>48267.45000000001</v>
      </c>
      <c r="I111" s="19">
        <f t="shared" si="5"/>
        <v>43440.705</v>
      </c>
      <c r="J111" s="20" t="s">
        <v>63</v>
      </c>
      <c r="K111" s="21" t="s">
        <v>47</v>
      </c>
    </row>
    <row r="112" ht="22.5" customHeight="1">
      <c r="A112" s="94" t="s">
        <v>291</v>
      </c>
      <c r="B112" s="96">
        <v>45.0</v>
      </c>
      <c r="C112" s="15">
        <v>120.0</v>
      </c>
      <c r="D112" s="15" t="s">
        <v>31</v>
      </c>
      <c r="E112" s="29">
        <v>7795.0</v>
      </c>
      <c r="F112" s="95">
        <v>13663.86</v>
      </c>
      <c r="G112" s="29">
        <v>21458.86</v>
      </c>
      <c r="H112" s="32">
        <v>32901.33</v>
      </c>
      <c r="I112" s="19">
        <f t="shared" si="5"/>
        <v>29611.197</v>
      </c>
      <c r="J112" s="20" t="s">
        <v>63</v>
      </c>
      <c r="K112" s="21" t="s">
        <v>47</v>
      </c>
    </row>
    <row r="113" ht="22.5" customHeight="1">
      <c r="A113" s="94" t="s">
        <v>292</v>
      </c>
      <c r="B113" s="96">
        <v>80.0</v>
      </c>
      <c r="C113" s="15">
        <v>110.0</v>
      </c>
      <c r="D113" s="15" t="s">
        <v>31</v>
      </c>
      <c r="E113" s="29">
        <v>9370.0</v>
      </c>
      <c r="F113" s="95">
        <v>19524.46</v>
      </c>
      <c r="G113" s="29">
        <v>28894.46</v>
      </c>
      <c r="H113" s="32">
        <v>42315.73500000001</v>
      </c>
      <c r="I113" s="19">
        <f t="shared" si="5"/>
        <v>38084.1615</v>
      </c>
      <c r="J113" s="20" t="s">
        <v>63</v>
      </c>
      <c r="K113" s="21" t="s">
        <v>47</v>
      </c>
    </row>
    <row r="114" ht="22.5" customHeight="1">
      <c r="A114" s="94" t="s">
        <v>293</v>
      </c>
      <c r="B114" s="96">
        <v>70.0</v>
      </c>
      <c r="C114" s="15">
        <v>110.0</v>
      </c>
      <c r="D114" s="15" t="s">
        <v>31</v>
      </c>
      <c r="E114" s="29">
        <v>8920.0</v>
      </c>
      <c r="F114" s="95">
        <v>19320.81</v>
      </c>
      <c r="G114" s="29">
        <v>28240.81</v>
      </c>
      <c r="H114" s="32">
        <v>41586.93000000001</v>
      </c>
      <c r="I114" s="19">
        <f t="shared" si="5"/>
        <v>37428.237</v>
      </c>
      <c r="J114" s="20" t="s">
        <v>63</v>
      </c>
      <c r="K114" s="21" t="s">
        <v>47</v>
      </c>
    </row>
    <row r="115" ht="22.5" customHeight="1">
      <c r="A115" s="94" t="s">
        <v>145</v>
      </c>
      <c r="B115" s="96">
        <v>70.0</v>
      </c>
      <c r="C115" s="15">
        <v>100.0</v>
      </c>
      <c r="D115" s="15" t="s">
        <v>31</v>
      </c>
      <c r="E115" s="29">
        <v>8920.0</v>
      </c>
      <c r="F115" s="95">
        <v>20860.96</v>
      </c>
      <c r="G115" s="29">
        <v>29780.96</v>
      </c>
      <c r="H115" s="32">
        <v>47098.590000000004</v>
      </c>
      <c r="I115" s="19">
        <f t="shared" si="5"/>
        <v>42388.731</v>
      </c>
      <c r="J115" s="20" t="s">
        <v>63</v>
      </c>
      <c r="K115" s="21" t="s">
        <v>47</v>
      </c>
    </row>
    <row r="116" ht="22.5" customHeight="1">
      <c r="A116" s="94" t="s">
        <v>146</v>
      </c>
      <c r="B116" s="96">
        <v>60.0</v>
      </c>
      <c r="C116" s="15">
        <v>100.0</v>
      </c>
      <c r="D116" s="15" t="s">
        <v>31</v>
      </c>
      <c r="E116" s="29">
        <v>8280.0</v>
      </c>
      <c r="F116" s="95">
        <v>20205.89</v>
      </c>
      <c r="G116" s="29">
        <v>28485.89</v>
      </c>
      <c r="H116" s="32">
        <v>44753.94</v>
      </c>
      <c r="I116" s="19">
        <f t="shared" si="5"/>
        <v>40278.546</v>
      </c>
      <c r="J116" s="20" t="s">
        <v>63</v>
      </c>
      <c r="K116" s="21" t="s">
        <v>47</v>
      </c>
    </row>
    <row r="118">
      <c r="A118" s="87"/>
      <c r="B118" s="88"/>
      <c r="C118" s="47"/>
      <c r="E118" s="88"/>
      <c r="F118" s="89"/>
      <c r="G118" s="90"/>
      <c r="H118" s="59"/>
    </row>
    <row r="119">
      <c r="A119" s="7"/>
      <c r="B119" s="7"/>
      <c r="C119" s="7"/>
      <c r="E119" s="7"/>
      <c r="F119" s="7"/>
      <c r="G119" s="36"/>
      <c r="H119" s="59"/>
    </row>
    <row r="120" ht="22.5" customHeight="1">
      <c r="A120" s="8" t="s">
        <v>175</v>
      </c>
      <c r="B120" s="9" t="s">
        <v>60</v>
      </c>
      <c r="C120" s="93" t="s">
        <v>61</v>
      </c>
      <c r="D120" s="10" t="s">
        <v>3</v>
      </c>
      <c r="E120" s="8" t="s">
        <v>4</v>
      </c>
      <c r="F120" s="11" t="s">
        <v>5</v>
      </c>
      <c r="G120" s="12" t="s">
        <v>6</v>
      </c>
      <c r="H120" s="12" t="s">
        <v>248</v>
      </c>
      <c r="I120" s="12" t="s">
        <v>20</v>
      </c>
      <c r="J120" s="13" t="s">
        <v>9</v>
      </c>
      <c r="K120" s="10" t="s">
        <v>10</v>
      </c>
    </row>
    <row r="121" ht="22.5" customHeight="1">
      <c r="A121" s="94" t="s">
        <v>294</v>
      </c>
      <c r="B121" s="96">
        <v>50.0</v>
      </c>
      <c r="C121" s="15">
        <v>50.0</v>
      </c>
      <c r="D121" s="15" t="s">
        <v>31</v>
      </c>
      <c r="E121" s="29">
        <v>7830.0</v>
      </c>
      <c r="F121" s="95">
        <v>12712.32</v>
      </c>
      <c r="G121" s="29">
        <v>20542.32</v>
      </c>
      <c r="H121" s="32">
        <v>29496.390000000003</v>
      </c>
      <c r="I121" s="19">
        <f t="shared" ref="I121:I139" si="6">H121*0.9</f>
        <v>26546.751</v>
      </c>
      <c r="J121" s="20" t="s">
        <v>177</v>
      </c>
      <c r="K121" s="21" t="s">
        <v>47</v>
      </c>
    </row>
    <row r="122" ht="22.5" customHeight="1">
      <c r="A122" s="94" t="s">
        <v>295</v>
      </c>
      <c r="B122" s="96">
        <v>60.0</v>
      </c>
      <c r="C122" s="15">
        <v>60.0</v>
      </c>
      <c r="D122" s="15" t="s">
        <v>31</v>
      </c>
      <c r="E122" s="29">
        <v>8470.0</v>
      </c>
      <c r="F122" s="95">
        <v>13757.07</v>
      </c>
      <c r="G122" s="29">
        <v>22227.07</v>
      </c>
      <c r="H122" s="32">
        <v>33235.12500000001</v>
      </c>
      <c r="I122" s="19">
        <f t="shared" si="6"/>
        <v>29911.6125</v>
      </c>
      <c r="J122" s="20" t="s">
        <v>177</v>
      </c>
      <c r="K122" s="21" t="s">
        <v>47</v>
      </c>
    </row>
    <row r="123" ht="22.5" customHeight="1">
      <c r="A123" s="94" t="s">
        <v>296</v>
      </c>
      <c r="B123" s="96">
        <v>70.0</v>
      </c>
      <c r="C123" s="15">
        <v>70.0</v>
      </c>
      <c r="D123" s="15" t="s">
        <v>31</v>
      </c>
      <c r="E123" s="29">
        <v>8470.0</v>
      </c>
      <c r="F123" s="95">
        <v>18921.64</v>
      </c>
      <c r="G123" s="29">
        <v>27391.64</v>
      </c>
      <c r="H123" s="32">
        <v>40158.195</v>
      </c>
      <c r="I123" s="19">
        <f t="shared" si="6"/>
        <v>36142.3755</v>
      </c>
      <c r="J123" s="20" t="s">
        <v>177</v>
      </c>
      <c r="K123" s="21" t="s">
        <v>47</v>
      </c>
    </row>
    <row r="124" ht="22.5" customHeight="1">
      <c r="A124" s="94" t="s">
        <v>297</v>
      </c>
      <c r="B124" s="96">
        <v>75.0</v>
      </c>
      <c r="C124" s="15">
        <v>75.0</v>
      </c>
      <c r="D124" s="15" t="s">
        <v>31</v>
      </c>
      <c r="E124" s="29">
        <v>9145.0</v>
      </c>
      <c r="F124" s="95">
        <v>19234.93</v>
      </c>
      <c r="G124" s="29">
        <v>28379.93</v>
      </c>
      <c r="H124" s="32">
        <v>41279.700000000004</v>
      </c>
      <c r="I124" s="19">
        <f t="shared" si="6"/>
        <v>37151.73</v>
      </c>
      <c r="J124" s="20" t="s">
        <v>177</v>
      </c>
      <c r="K124" s="21" t="s">
        <v>47</v>
      </c>
    </row>
    <row r="125" ht="22.5" customHeight="1">
      <c r="A125" s="94" t="s">
        <v>298</v>
      </c>
      <c r="B125" s="96">
        <v>80.0</v>
      </c>
      <c r="C125" s="15">
        <v>80.0</v>
      </c>
      <c r="D125" s="15" t="s">
        <v>31</v>
      </c>
      <c r="E125" s="29">
        <v>9370.0</v>
      </c>
      <c r="F125" s="95">
        <v>18982.49</v>
      </c>
      <c r="G125" s="29">
        <v>28352.49</v>
      </c>
      <c r="H125" s="32">
        <v>40375.33500000001</v>
      </c>
      <c r="I125" s="19">
        <f t="shared" si="6"/>
        <v>36337.8015</v>
      </c>
      <c r="J125" s="20" t="s">
        <v>177</v>
      </c>
      <c r="K125" s="21" t="s">
        <v>47</v>
      </c>
    </row>
    <row r="126" ht="22.5" customHeight="1">
      <c r="A126" s="94" t="s">
        <v>299</v>
      </c>
      <c r="B126" s="96">
        <v>85.0</v>
      </c>
      <c r="C126" s="15">
        <v>85.0</v>
      </c>
      <c r="D126" s="15" t="s">
        <v>31</v>
      </c>
      <c r="E126" s="29">
        <v>9370.0</v>
      </c>
      <c r="F126" s="95">
        <v>19411.86</v>
      </c>
      <c r="G126" s="29">
        <v>28781.86</v>
      </c>
      <c r="H126" s="32">
        <v>41912.64000000001</v>
      </c>
      <c r="I126" s="19">
        <f t="shared" si="6"/>
        <v>37721.376</v>
      </c>
      <c r="J126" s="20" t="s">
        <v>177</v>
      </c>
      <c r="K126" s="21" t="s">
        <v>47</v>
      </c>
    </row>
    <row r="127" ht="22.5" customHeight="1">
      <c r="A127" s="94" t="s">
        <v>300</v>
      </c>
      <c r="B127" s="96">
        <v>90.0</v>
      </c>
      <c r="C127" s="15">
        <v>90.0</v>
      </c>
      <c r="D127" s="15" t="s">
        <v>31</v>
      </c>
      <c r="E127" s="29">
        <v>9370.0</v>
      </c>
      <c r="F127" s="95">
        <v>19227.6</v>
      </c>
      <c r="G127" s="29">
        <v>28597.6</v>
      </c>
      <c r="H127" s="32">
        <v>41253.13500000001</v>
      </c>
      <c r="I127" s="19">
        <f t="shared" si="6"/>
        <v>37127.8215</v>
      </c>
      <c r="J127" s="20" t="s">
        <v>177</v>
      </c>
      <c r="K127" s="21" t="s">
        <v>47</v>
      </c>
    </row>
    <row r="128" ht="22.5" customHeight="1">
      <c r="A128" s="94" t="s">
        <v>301</v>
      </c>
      <c r="B128" s="96">
        <v>100.0</v>
      </c>
      <c r="C128" s="15">
        <v>100.0</v>
      </c>
      <c r="D128" s="15" t="s">
        <v>31</v>
      </c>
      <c r="E128" s="29">
        <v>10080.0</v>
      </c>
      <c r="F128" s="95">
        <v>19767.45</v>
      </c>
      <c r="G128" s="29">
        <v>29847.45</v>
      </c>
      <c r="H128" s="32">
        <v>43184.295000000006</v>
      </c>
      <c r="I128" s="19">
        <f t="shared" si="6"/>
        <v>38865.8655</v>
      </c>
      <c r="J128" s="20" t="s">
        <v>177</v>
      </c>
      <c r="K128" s="21" t="s">
        <v>47</v>
      </c>
    </row>
    <row r="129" ht="22.5" customHeight="1">
      <c r="A129" s="94" t="s">
        <v>302</v>
      </c>
      <c r="B129" s="96">
        <v>110.0</v>
      </c>
      <c r="C129" s="15">
        <v>110.0</v>
      </c>
      <c r="D129" s="15" t="s">
        <v>31</v>
      </c>
      <c r="E129" s="29">
        <v>10530.0</v>
      </c>
      <c r="F129" s="95">
        <v>20394.04</v>
      </c>
      <c r="G129" s="29">
        <v>30924.04</v>
      </c>
      <c r="H129" s="32">
        <v>45427.30500000001</v>
      </c>
      <c r="I129" s="19">
        <f t="shared" si="6"/>
        <v>40884.5745</v>
      </c>
      <c r="J129" s="20" t="s">
        <v>177</v>
      </c>
      <c r="K129" s="21" t="s">
        <v>47</v>
      </c>
    </row>
    <row r="130" ht="22.5" customHeight="1">
      <c r="A130" s="94" t="s">
        <v>182</v>
      </c>
      <c r="B130" s="96">
        <v>120.0</v>
      </c>
      <c r="C130" s="15">
        <v>120.0</v>
      </c>
      <c r="D130" s="15" t="s">
        <v>31</v>
      </c>
      <c r="E130" s="29">
        <v>11512.0</v>
      </c>
      <c r="F130" s="95">
        <v>21469.85</v>
      </c>
      <c r="G130" s="29">
        <v>32981.85</v>
      </c>
      <c r="H130" s="32">
        <v>49276.920000000006</v>
      </c>
      <c r="I130" s="19">
        <f t="shared" si="6"/>
        <v>44349.228</v>
      </c>
      <c r="J130" s="20" t="s">
        <v>177</v>
      </c>
      <c r="K130" s="21" t="s">
        <v>47</v>
      </c>
    </row>
    <row r="131" ht="22.5" customHeight="1">
      <c r="A131" s="94" t="s">
        <v>303</v>
      </c>
      <c r="B131" s="96">
        <v>130.0</v>
      </c>
      <c r="C131" s="15">
        <v>130.0</v>
      </c>
      <c r="D131" s="15" t="s">
        <v>31</v>
      </c>
      <c r="E131" s="29">
        <v>14388.0</v>
      </c>
      <c r="F131" s="95">
        <v>25047.28</v>
      </c>
      <c r="G131" s="29">
        <v>39435.28</v>
      </c>
      <c r="H131" s="32">
        <v>62078.94</v>
      </c>
      <c r="I131" s="19">
        <f t="shared" si="6"/>
        <v>55871.046</v>
      </c>
      <c r="J131" s="20" t="s">
        <v>177</v>
      </c>
      <c r="K131" s="21" t="s">
        <v>47</v>
      </c>
    </row>
    <row r="132" ht="22.5" customHeight="1">
      <c r="A132" s="94" t="s">
        <v>304</v>
      </c>
      <c r="B132" s="96">
        <v>135.0</v>
      </c>
      <c r="C132" s="15">
        <v>135.0</v>
      </c>
      <c r="D132" s="15" t="s">
        <v>31</v>
      </c>
      <c r="E132" s="29">
        <v>15288.0</v>
      </c>
      <c r="F132" s="95">
        <v>25387.76</v>
      </c>
      <c r="G132" s="29">
        <v>40675.76</v>
      </c>
      <c r="H132" s="32">
        <v>63297.465000000004</v>
      </c>
      <c r="I132" s="19">
        <f t="shared" si="6"/>
        <v>56967.7185</v>
      </c>
      <c r="J132" s="20" t="s">
        <v>177</v>
      </c>
      <c r="K132" s="21" t="s">
        <v>47</v>
      </c>
    </row>
    <row r="133" ht="22.5" customHeight="1">
      <c r="A133" s="94" t="s">
        <v>305</v>
      </c>
      <c r="B133" s="96">
        <v>140.0</v>
      </c>
      <c r="C133" s="15">
        <v>140.0</v>
      </c>
      <c r="D133" s="15" t="s">
        <v>31</v>
      </c>
      <c r="E133" s="29">
        <v>15364.0</v>
      </c>
      <c r="F133" s="95">
        <v>25183.21</v>
      </c>
      <c r="G133" s="29">
        <v>40547.21</v>
      </c>
      <c r="H133" s="32">
        <v>62566.35000000001</v>
      </c>
      <c r="I133" s="19">
        <f t="shared" si="6"/>
        <v>56309.715</v>
      </c>
      <c r="J133" s="20" t="s">
        <v>177</v>
      </c>
      <c r="K133" s="21" t="s">
        <v>47</v>
      </c>
    </row>
    <row r="134" ht="22.5" customHeight="1">
      <c r="A134" s="94" t="s">
        <v>306</v>
      </c>
      <c r="B134" s="96">
        <v>145.0</v>
      </c>
      <c r="C134" s="15">
        <v>145.0</v>
      </c>
      <c r="D134" s="15" t="s">
        <v>31</v>
      </c>
      <c r="E134" s="29">
        <v>15364.0</v>
      </c>
      <c r="F134" s="95">
        <v>26730.7</v>
      </c>
      <c r="G134" s="29">
        <v>42094.7</v>
      </c>
      <c r="H134" s="32">
        <v>68103.42000000001</v>
      </c>
      <c r="I134" s="19">
        <f t="shared" si="6"/>
        <v>61293.078</v>
      </c>
      <c r="J134" s="20" t="s">
        <v>177</v>
      </c>
      <c r="K134" s="21" t="s">
        <v>47</v>
      </c>
    </row>
    <row r="135" ht="22.5" customHeight="1">
      <c r="A135" s="94" t="s">
        <v>307</v>
      </c>
      <c r="B135" s="96">
        <v>150.0</v>
      </c>
      <c r="C135" s="15">
        <v>150.0</v>
      </c>
      <c r="D135" s="15" t="s">
        <v>31</v>
      </c>
      <c r="E135" s="29">
        <v>17018.0</v>
      </c>
      <c r="F135" s="95">
        <v>27742.65</v>
      </c>
      <c r="G135" s="29">
        <v>44760.65</v>
      </c>
      <c r="H135" s="32">
        <v>71725.5</v>
      </c>
      <c r="I135" s="19">
        <f t="shared" si="6"/>
        <v>64552.95</v>
      </c>
      <c r="J135" s="20" t="s">
        <v>177</v>
      </c>
      <c r="K135" s="21" t="s">
        <v>47</v>
      </c>
    </row>
    <row r="136" ht="22.5" customHeight="1">
      <c r="A136" s="94" t="s">
        <v>308</v>
      </c>
      <c r="B136" s="96">
        <v>160.0</v>
      </c>
      <c r="C136" s="15">
        <v>160.0</v>
      </c>
      <c r="D136" s="15" t="s">
        <v>31</v>
      </c>
      <c r="E136" s="29">
        <v>18970.0</v>
      </c>
      <c r="F136" s="95">
        <v>28428.36</v>
      </c>
      <c r="G136" s="29">
        <v>47398.36</v>
      </c>
      <c r="H136" s="32">
        <v>74178.72000000002</v>
      </c>
      <c r="I136" s="19">
        <f t="shared" si="6"/>
        <v>66760.848</v>
      </c>
      <c r="J136" s="20" t="s">
        <v>177</v>
      </c>
      <c r="K136" s="21" t="s">
        <v>47</v>
      </c>
    </row>
    <row r="137" ht="22.5" customHeight="1">
      <c r="A137" s="94" t="s">
        <v>309</v>
      </c>
      <c r="B137" s="96">
        <v>170.0</v>
      </c>
      <c r="C137" s="15">
        <v>170.0</v>
      </c>
      <c r="D137" s="15" t="s">
        <v>31</v>
      </c>
      <c r="E137" s="29">
        <v>23660.0</v>
      </c>
      <c r="F137" s="95">
        <v>29947.79</v>
      </c>
      <c r="G137" s="29">
        <v>53607.79</v>
      </c>
      <c r="H137" s="32">
        <v>79616.46000000002</v>
      </c>
      <c r="I137" s="19">
        <f t="shared" si="6"/>
        <v>71654.814</v>
      </c>
      <c r="J137" s="20" t="s">
        <v>177</v>
      </c>
      <c r="K137" s="21" t="s">
        <v>47</v>
      </c>
    </row>
    <row r="138" ht="22.5" customHeight="1">
      <c r="A138" s="94" t="s">
        <v>310</v>
      </c>
      <c r="B138" s="96">
        <v>180.0</v>
      </c>
      <c r="C138" s="15">
        <v>180.0</v>
      </c>
      <c r="D138" s="15" t="s">
        <v>31</v>
      </c>
      <c r="E138" s="29">
        <v>23660.0</v>
      </c>
      <c r="F138" s="95">
        <v>31896.17</v>
      </c>
      <c r="G138" s="29">
        <v>55556.17</v>
      </c>
      <c r="H138" s="32">
        <v>86589.195</v>
      </c>
      <c r="I138" s="19">
        <f t="shared" si="6"/>
        <v>77930.2755</v>
      </c>
      <c r="J138" s="20" t="s">
        <v>177</v>
      </c>
      <c r="K138" s="21" t="s">
        <v>47</v>
      </c>
    </row>
    <row r="139" ht="22.5" customHeight="1">
      <c r="A139" s="94" t="s">
        <v>311</v>
      </c>
      <c r="B139" s="96">
        <v>200.0</v>
      </c>
      <c r="C139" s="15">
        <v>200.0</v>
      </c>
      <c r="D139" s="15" t="s">
        <v>31</v>
      </c>
      <c r="E139" s="29">
        <v>26810.0</v>
      </c>
      <c r="F139" s="95">
        <v>38236.25</v>
      </c>
      <c r="G139" s="29">
        <v>65046.25</v>
      </c>
      <c r="H139" s="32">
        <v>109278.01500000001</v>
      </c>
      <c r="I139" s="19">
        <f t="shared" si="6"/>
        <v>98350.2135</v>
      </c>
      <c r="J139" s="20" t="s">
        <v>177</v>
      </c>
      <c r="K139" s="21" t="s">
        <v>47</v>
      </c>
    </row>
    <row r="140">
      <c r="A140" s="7"/>
      <c r="B140" s="7"/>
      <c r="C140" s="7"/>
      <c r="E140" s="7"/>
      <c r="F140" s="7"/>
      <c r="G140" s="36"/>
      <c r="H140" s="37"/>
    </row>
    <row r="141">
      <c r="A141" s="7"/>
      <c r="B141" s="7"/>
      <c r="C141" s="7"/>
      <c r="E141" s="7"/>
      <c r="F141" s="7"/>
      <c r="G141" s="36"/>
      <c r="H141" s="37"/>
    </row>
    <row r="142" ht="22.5" customHeight="1">
      <c r="A142" s="8" t="s">
        <v>312</v>
      </c>
      <c r="B142" s="9" t="s">
        <v>60</v>
      </c>
      <c r="C142" s="93" t="s">
        <v>61</v>
      </c>
      <c r="D142" s="97" t="s">
        <v>3</v>
      </c>
      <c r="E142" s="8" t="s">
        <v>4</v>
      </c>
      <c r="F142" s="11" t="s">
        <v>5</v>
      </c>
      <c r="G142" s="12" t="s">
        <v>6</v>
      </c>
      <c r="H142" s="12" t="s">
        <v>248</v>
      </c>
      <c r="I142" s="12" t="s">
        <v>20</v>
      </c>
      <c r="J142" s="13" t="s">
        <v>9</v>
      </c>
      <c r="K142" s="10" t="s">
        <v>10</v>
      </c>
    </row>
    <row r="143" ht="22.5" customHeight="1">
      <c r="A143" s="94" t="s">
        <v>313</v>
      </c>
      <c r="B143" s="96">
        <v>80.0</v>
      </c>
      <c r="C143" s="15">
        <v>160.0</v>
      </c>
      <c r="D143" s="15" t="s">
        <v>12</v>
      </c>
      <c r="E143" s="29">
        <v>12450.0</v>
      </c>
      <c r="F143" s="95">
        <v>20885.56</v>
      </c>
      <c r="G143" s="29">
        <v>33335.56</v>
      </c>
      <c r="H143" s="32">
        <v>47186.37</v>
      </c>
      <c r="I143" s="19">
        <f t="shared" ref="I143:I151" si="7">H143*0.9</f>
        <v>42467.733</v>
      </c>
      <c r="J143" s="20" t="s">
        <v>63</v>
      </c>
      <c r="K143" s="21" t="s">
        <v>14</v>
      </c>
    </row>
    <row r="144" ht="22.5" customHeight="1">
      <c r="A144" s="94" t="s">
        <v>314</v>
      </c>
      <c r="B144" s="96">
        <v>120.0</v>
      </c>
      <c r="C144" s="15">
        <v>170.0</v>
      </c>
      <c r="D144" s="15" t="s">
        <v>12</v>
      </c>
      <c r="E144" s="29">
        <v>13185.0</v>
      </c>
      <c r="F144" s="95">
        <v>24664.08</v>
      </c>
      <c r="G144" s="29">
        <v>37849.08</v>
      </c>
      <c r="H144" s="32">
        <v>60707.95500000001</v>
      </c>
      <c r="I144" s="19">
        <f t="shared" si="7"/>
        <v>54637.1595</v>
      </c>
      <c r="J144" s="20" t="s">
        <v>63</v>
      </c>
      <c r="K144" s="21" t="s">
        <v>14</v>
      </c>
    </row>
    <row r="145" ht="22.5" customHeight="1">
      <c r="A145" s="94" t="s">
        <v>205</v>
      </c>
      <c r="B145" s="96">
        <v>140.0</v>
      </c>
      <c r="C145" s="15">
        <v>180.0</v>
      </c>
      <c r="D145" s="15" t="s">
        <v>12</v>
      </c>
      <c r="E145" s="29">
        <v>13635.0</v>
      </c>
      <c r="F145" s="95">
        <v>25012.76</v>
      </c>
      <c r="G145" s="29">
        <v>38647.76</v>
      </c>
      <c r="H145" s="32">
        <v>61955.35500000001</v>
      </c>
      <c r="I145" s="19">
        <f t="shared" si="7"/>
        <v>55759.8195</v>
      </c>
      <c r="J145" s="20" t="s">
        <v>63</v>
      </c>
      <c r="K145" s="21" t="s">
        <v>14</v>
      </c>
    </row>
    <row r="146" ht="22.5" customHeight="1">
      <c r="A146" s="94" t="s">
        <v>206</v>
      </c>
      <c r="B146" s="96">
        <v>140.0</v>
      </c>
      <c r="C146" s="15">
        <v>200.0</v>
      </c>
      <c r="D146" s="15" t="s">
        <v>12</v>
      </c>
      <c r="E146" s="29">
        <v>14535.0</v>
      </c>
      <c r="F146" s="95">
        <v>25476.23</v>
      </c>
      <c r="G146" s="29">
        <v>40011.23</v>
      </c>
      <c r="H146" s="32">
        <v>63613.935000000005</v>
      </c>
      <c r="I146" s="19">
        <f t="shared" si="7"/>
        <v>57252.5415</v>
      </c>
      <c r="J146" s="20" t="s">
        <v>63</v>
      </c>
      <c r="K146" s="21" t="s">
        <v>14</v>
      </c>
    </row>
    <row r="147" ht="22.5" customHeight="1">
      <c r="A147" s="94" t="s">
        <v>315</v>
      </c>
      <c r="B147" s="96">
        <v>140.0</v>
      </c>
      <c r="C147" s="15">
        <v>220.0</v>
      </c>
      <c r="D147" s="15" t="s">
        <v>12</v>
      </c>
      <c r="E147" s="29">
        <v>15530.0</v>
      </c>
      <c r="F147" s="95">
        <v>26079.51</v>
      </c>
      <c r="G147" s="29">
        <v>41609.51</v>
      </c>
      <c r="H147" s="32">
        <v>65773.785</v>
      </c>
      <c r="I147" s="19">
        <f t="shared" si="7"/>
        <v>59196.4065</v>
      </c>
      <c r="J147" s="20" t="s">
        <v>63</v>
      </c>
      <c r="K147" s="21" t="s">
        <v>14</v>
      </c>
    </row>
    <row r="148" ht="22.5" customHeight="1">
      <c r="A148" s="94" t="s">
        <v>207</v>
      </c>
      <c r="B148" s="96">
        <v>140.0</v>
      </c>
      <c r="C148" s="15">
        <v>250.0</v>
      </c>
      <c r="D148" s="15" t="s">
        <v>12</v>
      </c>
      <c r="E148" s="29">
        <v>17070.0</v>
      </c>
      <c r="F148" s="95">
        <v>27021.98</v>
      </c>
      <c r="G148" s="29">
        <v>44091.98</v>
      </c>
      <c r="H148" s="32">
        <v>69146.38500000001</v>
      </c>
      <c r="I148" s="19">
        <f t="shared" si="7"/>
        <v>62231.7465</v>
      </c>
      <c r="J148" s="20" t="s">
        <v>63</v>
      </c>
      <c r="K148" s="21" t="s">
        <v>14</v>
      </c>
    </row>
    <row r="149" ht="22.5" customHeight="1">
      <c r="A149" s="94" t="s">
        <v>208</v>
      </c>
      <c r="B149" s="96">
        <v>140.0</v>
      </c>
      <c r="C149" s="15">
        <v>300.0</v>
      </c>
      <c r="D149" s="15" t="s">
        <v>12</v>
      </c>
      <c r="E149" s="29">
        <v>20700.0</v>
      </c>
      <c r="F149" s="95">
        <v>28104.27</v>
      </c>
      <c r="G149" s="29">
        <v>48804.27</v>
      </c>
      <c r="H149" s="32">
        <v>73019.1</v>
      </c>
      <c r="I149" s="19">
        <f t="shared" si="7"/>
        <v>65717.19</v>
      </c>
      <c r="J149" s="20" t="s">
        <v>63</v>
      </c>
      <c r="K149" s="21" t="s">
        <v>14</v>
      </c>
    </row>
    <row r="150" ht="22.5" customHeight="1">
      <c r="A150" s="94" t="s">
        <v>316</v>
      </c>
      <c r="B150" s="96">
        <v>180.0</v>
      </c>
      <c r="C150" s="15">
        <v>300.0</v>
      </c>
      <c r="D150" s="15" t="s">
        <v>12</v>
      </c>
      <c r="E150" s="29">
        <v>26200.0</v>
      </c>
      <c r="F150" s="95">
        <v>31067.1</v>
      </c>
      <c r="G150" s="29">
        <v>57267.1</v>
      </c>
      <c r="H150" s="32">
        <v>83622.0</v>
      </c>
      <c r="I150" s="19">
        <f t="shared" si="7"/>
        <v>75259.8</v>
      </c>
      <c r="J150" s="20" t="s">
        <v>63</v>
      </c>
      <c r="K150" s="21" t="s">
        <v>14</v>
      </c>
    </row>
    <row r="151" ht="22.5" customHeight="1">
      <c r="A151" s="94" t="s">
        <v>317</v>
      </c>
      <c r="B151" s="96">
        <v>200.0</v>
      </c>
      <c r="C151" s="15">
        <v>400.0</v>
      </c>
      <c r="D151" s="15" t="s">
        <v>12</v>
      </c>
      <c r="E151" s="29">
        <v>37880.0</v>
      </c>
      <c r="F151" s="95">
        <v>39071.3</v>
      </c>
      <c r="G151" s="29">
        <v>76951.3</v>
      </c>
      <c r="H151" s="32">
        <v>112266.00000000001</v>
      </c>
      <c r="I151" s="19">
        <f t="shared" si="7"/>
        <v>101039.4</v>
      </c>
      <c r="J151" s="20" t="s">
        <v>63</v>
      </c>
      <c r="K151" s="21" t="s">
        <v>14</v>
      </c>
    </row>
    <row r="152">
      <c r="A152" s="7"/>
      <c r="B152" s="7"/>
      <c r="C152" s="7"/>
      <c r="E152" s="7"/>
      <c r="F152" s="7"/>
      <c r="G152" s="36"/>
      <c r="H152" s="37"/>
    </row>
    <row r="153">
      <c r="A153" s="7"/>
      <c r="B153" s="7"/>
      <c r="C153" s="7"/>
      <c r="E153" s="7"/>
      <c r="F153" s="7"/>
      <c r="G153" s="36"/>
      <c r="H153" s="37"/>
    </row>
    <row r="154" ht="22.5" customHeight="1">
      <c r="A154" s="8" t="s">
        <v>213</v>
      </c>
      <c r="B154" s="9" t="s">
        <v>60</v>
      </c>
      <c r="C154" s="93" t="s">
        <v>61</v>
      </c>
      <c r="D154" s="10" t="s">
        <v>3</v>
      </c>
      <c r="E154" s="8" t="s">
        <v>4</v>
      </c>
      <c r="F154" s="11" t="s">
        <v>5</v>
      </c>
      <c r="G154" s="12" t="s">
        <v>6</v>
      </c>
      <c r="H154" s="12" t="s">
        <v>248</v>
      </c>
      <c r="I154" s="12" t="s">
        <v>20</v>
      </c>
      <c r="J154" s="13" t="s">
        <v>9</v>
      </c>
      <c r="K154" s="10" t="s">
        <v>10</v>
      </c>
    </row>
    <row r="155" ht="22.5" customHeight="1">
      <c r="A155" s="94" t="s">
        <v>318</v>
      </c>
      <c r="B155" s="96">
        <v>120.0</v>
      </c>
      <c r="C155" s="15">
        <v>170.0</v>
      </c>
      <c r="D155" s="15" t="s">
        <v>22</v>
      </c>
      <c r="E155" s="29">
        <v>14290.0</v>
      </c>
      <c r="F155" s="95">
        <v>24809.86</v>
      </c>
      <c r="G155" s="29">
        <v>39099.86</v>
      </c>
      <c r="H155" s="70">
        <v>59529.85500000001</v>
      </c>
      <c r="I155" s="19">
        <f t="shared" ref="I155:I164" si="8">H155*0.9</f>
        <v>53576.8695</v>
      </c>
      <c r="J155" s="20" t="s">
        <v>63</v>
      </c>
      <c r="K155" s="21" t="s">
        <v>14</v>
      </c>
    </row>
    <row r="156" ht="22.5" customHeight="1">
      <c r="A156" s="98" t="s">
        <v>205</v>
      </c>
      <c r="B156" s="96">
        <v>140.0</v>
      </c>
      <c r="C156" s="15">
        <v>180.0</v>
      </c>
      <c r="D156" s="15" t="s">
        <v>22</v>
      </c>
      <c r="E156" s="29">
        <v>14910.0</v>
      </c>
      <c r="F156" s="95">
        <v>25687.99</v>
      </c>
      <c r="G156" s="29">
        <v>40597.99</v>
      </c>
      <c r="H156" s="70">
        <v>62672.61000000001</v>
      </c>
      <c r="I156" s="19">
        <f t="shared" si="8"/>
        <v>56405.349</v>
      </c>
      <c r="J156" s="20" t="s">
        <v>63</v>
      </c>
      <c r="K156" s="21" t="s">
        <v>14</v>
      </c>
    </row>
    <row r="157" ht="22.5" customHeight="1">
      <c r="A157" s="98" t="s">
        <v>206</v>
      </c>
      <c r="B157" s="96">
        <v>140.0</v>
      </c>
      <c r="C157" s="15">
        <v>200.0</v>
      </c>
      <c r="D157" s="15" t="s">
        <v>22</v>
      </c>
      <c r="E157" s="29">
        <v>15980.0</v>
      </c>
      <c r="F157" s="95">
        <v>26359.46</v>
      </c>
      <c r="G157" s="29">
        <v>42339.46</v>
      </c>
      <c r="H157" s="70">
        <v>65075.01000000001</v>
      </c>
      <c r="I157" s="19">
        <f t="shared" si="8"/>
        <v>58567.509</v>
      </c>
      <c r="J157" s="20" t="s">
        <v>63</v>
      </c>
      <c r="K157" s="21" t="s">
        <v>14</v>
      </c>
    </row>
    <row r="158" ht="22.5" customHeight="1">
      <c r="A158" s="94" t="s">
        <v>217</v>
      </c>
      <c r="B158" s="96">
        <v>140.0</v>
      </c>
      <c r="C158" s="15">
        <v>220.0</v>
      </c>
      <c r="D158" s="15" t="s">
        <v>22</v>
      </c>
      <c r="E158" s="29">
        <v>16880.0</v>
      </c>
      <c r="F158" s="95">
        <v>27341.63</v>
      </c>
      <c r="G158" s="29">
        <v>44221.63</v>
      </c>
      <c r="H158" s="32">
        <v>68589.67500000002</v>
      </c>
      <c r="I158" s="19">
        <f t="shared" si="8"/>
        <v>61730.7075</v>
      </c>
      <c r="J158" s="20" t="s">
        <v>63</v>
      </c>
      <c r="K158" s="21" t="s">
        <v>14</v>
      </c>
    </row>
    <row r="159" ht="22.5" customHeight="1">
      <c r="A159" s="98" t="s">
        <v>319</v>
      </c>
      <c r="B159" s="96">
        <v>140.0</v>
      </c>
      <c r="C159" s="15">
        <v>240.0</v>
      </c>
      <c r="D159" s="15" t="s">
        <v>22</v>
      </c>
      <c r="E159" s="29">
        <v>18120.0</v>
      </c>
      <c r="F159" s="95">
        <v>27717.07</v>
      </c>
      <c r="G159" s="29">
        <v>45837.07</v>
      </c>
      <c r="H159" s="70">
        <v>69934.09500000002</v>
      </c>
      <c r="I159" s="19">
        <f t="shared" si="8"/>
        <v>62940.6855</v>
      </c>
      <c r="J159" s="20" t="s">
        <v>63</v>
      </c>
      <c r="K159" s="21" t="s">
        <v>14</v>
      </c>
    </row>
    <row r="160" ht="22.5" customHeight="1">
      <c r="A160" s="98" t="s">
        <v>218</v>
      </c>
      <c r="B160" s="96">
        <v>140.0</v>
      </c>
      <c r="C160" s="15">
        <v>250.0</v>
      </c>
      <c r="D160" s="15" t="s">
        <v>22</v>
      </c>
      <c r="E160" s="29">
        <v>18570.0</v>
      </c>
      <c r="F160" s="95">
        <v>28190.03</v>
      </c>
      <c r="G160" s="29">
        <v>46760.03</v>
      </c>
      <c r="H160" s="70">
        <v>71626.17000000001</v>
      </c>
      <c r="I160" s="19">
        <f t="shared" si="8"/>
        <v>64463.553</v>
      </c>
      <c r="J160" s="20" t="s">
        <v>63</v>
      </c>
      <c r="K160" s="21" t="s">
        <v>14</v>
      </c>
    </row>
    <row r="161" ht="22.5" customHeight="1">
      <c r="A161" s="94" t="s">
        <v>219</v>
      </c>
      <c r="B161" s="96">
        <v>140.0</v>
      </c>
      <c r="C161" s="15">
        <v>300.0</v>
      </c>
      <c r="D161" s="15" t="s">
        <v>22</v>
      </c>
      <c r="E161" s="29">
        <v>22160.0</v>
      </c>
      <c r="F161" s="95">
        <v>29959.76</v>
      </c>
      <c r="G161" s="29">
        <v>52119.76</v>
      </c>
      <c r="H161" s="32">
        <v>77959.03500000002</v>
      </c>
      <c r="I161" s="19">
        <f t="shared" si="8"/>
        <v>70163.1315</v>
      </c>
      <c r="J161" s="20" t="s">
        <v>63</v>
      </c>
      <c r="K161" s="21" t="s">
        <v>14</v>
      </c>
    </row>
    <row r="162" ht="22.5" customHeight="1">
      <c r="A162" s="98" t="s">
        <v>320</v>
      </c>
      <c r="B162" s="96">
        <v>160.0</v>
      </c>
      <c r="C162" s="15">
        <v>250.0</v>
      </c>
      <c r="D162" s="15" t="s">
        <v>22</v>
      </c>
      <c r="E162" s="29">
        <v>20990.0</v>
      </c>
      <c r="F162" s="95">
        <v>29492.64</v>
      </c>
      <c r="G162" s="29">
        <v>50482.64</v>
      </c>
      <c r="H162" s="70">
        <v>76287.75</v>
      </c>
      <c r="I162" s="19">
        <f t="shared" si="8"/>
        <v>68658.975</v>
      </c>
      <c r="J162" s="20" t="s">
        <v>63</v>
      </c>
      <c r="K162" s="21" t="s">
        <v>14</v>
      </c>
    </row>
    <row r="163" ht="22.5" customHeight="1">
      <c r="A163" s="94" t="s">
        <v>321</v>
      </c>
      <c r="B163" s="96">
        <v>180.0</v>
      </c>
      <c r="C163" s="15">
        <v>280.0</v>
      </c>
      <c r="D163" s="15" t="s">
        <v>22</v>
      </c>
      <c r="E163" s="29">
        <v>25200.0</v>
      </c>
      <c r="F163" s="95">
        <v>30785.28</v>
      </c>
      <c r="G163" s="29">
        <v>55985.28</v>
      </c>
      <c r="H163" s="32">
        <v>80913.52500000001</v>
      </c>
      <c r="I163" s="19">
        <f t="shared" si="8"/>
        <v>72822.1725</v>
      </c>
      <c r="J163" s="20" t="s">
        <v>63</v>
      </c>
      <c r="K163" s="21" t="s">
        <v>14</v>
      </c>
    </row>
    <row r="164" ht="22.5" customHeight="1">
      <c r="A164" s="94" t="s">
        <v>322</v>
      </c>
      <c r="B164" s="96">
        <v>180.0</v>
      </c>
      <c r="C164" s="15">
        <v>360.0</v>
      </c>
      <c r="D164" s="15" t="s">
        <v>22</v>
      </c>
      <c r="E164" s="29">
        <v>32840.0</v>
      </c>
      <c r="F164" s="95">
        <v>33592.42</v>
      </c>
      <c r="G164" s="29">
        <v>66432.42</v>
      </c>
      <c r="H164" s="32">
        <v>90959.71500000001</v>
      </c>
      <c r="I164" s="19">
        <f t="shared" si="8"/>
        <v>81863.7435</v>
      </c>
      <c r="J164" s="20" t="s">
        <v>63</v>
      </c>
      <c r="K164" s="21" t="s">
        <v>14</v>
      </c>
    </row>
    <row r="165">
      <c r="A165" s="7"/>
      <c r="B165" s="7"/>
      <c r="C165" s="7"/>
      <c r="E165" s="7"/>
      <c r="F165" s="7"/>
      <c r="G165" s="36"/>
      <c r="H165" s="37"/>
    </row>
    <row r="166">
      <c r="A166" s="47"/>
      <c r="B166" s="47"/>
      <c r="C166" s="7"/>
      <c r="E166" s="47"/>
      <c r="F166" s="47"/>
      <c r="G166" s="86"/>
      <c r="H166" s="37"/>
    </row>
    <row r="167" ht="22.5" customHeight="1">
      <c r="A167" s="8" t="s">
        <v>323</v>
      </c>
      <c r="B167" s="9" t="s">
        <v>60</v>
      </c>
      <c r="C167" s="93" t="s">
        <v>61</v>
      </c>
      <c r="D167" s="10" t="s">
        <v>3</v>
      </c>
      <c r="E167" s="8" t="s">
        <v>4</v>
      </c>
      <c r="F167" s="11" t="s">
        <v>5</v>
      </c>
      <c r="G167" s="12" t="s">
        <v>6</v>
      </c>
      <c r="H167" s="12" t="s">
        <v>248</v>
      </c>
      <c r="I167" s="12" t="s">
        <v>20</v>
      </c>
      <c r="J167" s="13" t="s">
        <v>9</v>
      </c>
      <c r="K167" s="10" t="s">
        <v>10</v>
      </c>
    </row>
    <row r="168" ht="22.5" customHeight="1">
      <c r="A168" s="94" t="s">
        <v>324</v>
      </c>
      <c r="B168" s="96">
        <v>100.0</v>
      </c>
      <c r="C168" s="15">
        <v>100.0</v>
      </c>
      <c r="D168" s="15" t="s">
        <v>12</v>
      </c>
      <c r="E168" s="29">
        <v>9560.0</v>
      </c>
      <c r="F168" s="95">
        <v>11806.42</v>
      </c>
      <c r="G168" s="29">
        <v>21366.42</v>
      </c>
      <c r="H168" s="32">
        <v>28974.33</v>
      </c>
      <c r="I168" s="19">
        <f t="shared" ref="I168:I174" si="9">H168*0.9</f>
        <v>26076.897</v>
      </c>
      <c r="J168" s="20" t="s">
        <v>177</v>
      </c>
      <c r="K168" s="21" t="s">
        <v>14</v>
      </c>
    </row>
    <row r="169" ht="22.5" customHeight="1">
      <c r="A169" s="94" t="s">
        <v>236</v>
      </c>
      <c r="B169" s="96">
        <v>140.0</v>
      </c>
      <c r="C169" s="15">
        <v>140.0</v>
      </c>
      <c r="D169" s="15" t="s">
        <v>12</v>
      </c>
      <c r="E169" s="29">
        <v>12190.0</v>
      </c>
      <c r="F169" s="95">
        <v>21112.11</v>
      </c>
      <c r="G169" s="29">
        <v>33302.11</v>
      </c>
      <c r="H169" s="32">
        <v>47997.18000000001</v>
      </c>
      <c r="I169" s="19">
        <f t="shared" si="9"/>
        <v>43197.462</v>
      </c>
      <c r="J169" s="20" t="s">
        <v>177</v>
      </c>
      <c r="K169" s="21" t="s">
        <v>14</v>
      </c>
    </row>
    <row r="170" ht="22.5" customHeight="1">
      <c r="A170" s="94" t="s">
        <v>237</v>
      </c>
      <c r="B170" s="96">
        <v>160.0</v>
      </c>
      <c r="C170" s="15">
        <v>160.0</v>
      </c>
      <c r="D170" s="15" t="s">
        <v>12</v>
      </c>
      <c r="E170" s="29">
        <v>15535.0</v>
      </c>
      <c r="F170" s="95">
        <v>24394.37</v>
      </c>
      <c r="G170" s="29">
        <v>39929.37</v>
      </c>
      <c r="H170" s="32">
        <v>59742.37500000001</v>
      </c>
      <c r="I170" s="19">
        <f t="shared" si="9"/>
        <v>53768.1375</v>
      </c>
      <c r="J170" s="20" t="s">
        <v>177</v>
      </c>
      <c r="K170" s="21" t="s">
        <v>14</v>
      </c>
    </row>
    <row r="171" ht="22.5" customHeight="1">
      <c r="A171" s="94" t="s">
        <v>238</v>
      </c>
      <c r="B171" s="96">
        <v>180.0</v>
      </c>
      <c r="C171" s="15">
        <v>180.0</v>
      </c>
      <c r="D171" s="15" t="s">
        <v>12</v>
      </c>
      <c r="E171" s="29">
        <v>18425.0</v>
      </c>
      <c r="F171" s="95">
        <v>27330.96</v>
      </c>
      <c r="G171" s="29">
        <v>45755.96</v>
      </c>
      <c r="H171" s="32">
        <v>70251.72000000002</v>
      </c>
      <c r="I171" s="19">
        <f t="shared" si="9"/>
        <v>63226.548</v>
      </c>
      <c r="J171" s="20" t="s">
        <v>177</v>
      </c>
      <c r="K171" s="21" t="s">
        <v>14</v>
      </c>
    </row>
    <row r="172" ht="22.5" customHeight="1">
      <c r="A172" s="94" t="s">
        <v>239</v>
      </c>
      <c r="B172" s="96">
        <v>200.0</v>
      </c>
      <c r="C172" s="15">
        <v>200.0</v>
      </c>
      <c r="D172" s="15" t="s">
        <v>12</v>
      </c>
      <c r="E172" s="29">
        <v>20320.0</v>
      </c>
      <c r="F172" s="95">
        <v>28679.08</v>
      </c>
      <c r="G172" s="29">
        <v>48999.08</v>
      </c>
      <c r="H172" s="32">
        <v>75076.15500000001</v>
      </c>
      <c r="I172" s="19">
        <f t="shared" si="9"/>
        <v>67568.5395</v>
      </c>
      <c r="J172" s="20" t="s">
        <v>177</v>
      </c>
      <c r="K172" s="21" t="s">
        <v>14</v>
      </c>
    </row>
    <row r="173" ht="22.5" customHeight="1">
      <c r="A173" s="94" t="s">
        <v>325</v>
      </c>
      <c r="B173" s="96">
        <v>220.0</v>
      </c>
      <c r="C173" s="15">
        <v>220.0</v>
      </c>
      <c r="D173" s="15" t="s">
        <v>12</v>
      </c>
      <c r="E173" s="29">
        <v>25200.0</v>
      </c>
      <c r="F173" s="95">
        <v>32374.24</v>
      </c>
      <c r="G173" s="29">
        <v>57574.24</v>
      </c>
      <c r="H173" s="32">
        <v>88299.75</v>
      </c>
      <c r="I173" s="19">
        <f t="shared" si="9"/>
        <v>79469.775</v>
      </c>
      <c r="J173" s="20" t="s">
        <v>177</v>
      </c>
      <c r="K173" s="21" t="s">
        <v>14</v>
      </c>
    </row>
    <row r="174" ht="22.5" customHeight="1">
      <c r="A174" s="94" t="s">
        <v>326</v>
      </c>
      <c r="B174" s="96">
        <v>250.0</v>
      </c>
      <c r="C174" s="15">
        <v>250.0</v>
      </c>
      <c r="D174" s="15" t="s">
        <v>12</v>
      </c>
      <c r="E174" s="29">
        <v>29700.0</v>
      </c>
      <c r="F174" s="95">
        <v>35817.98</v>
      </c>
      <c r="G174" s="29">
        <v>65517.98</v>
      </c>
      <c r="H174" s="32">
        <v>100623.60000000002</v>
      </c>
      <c r="I174" s="19">
        <f t="shared" si="9"/>
        <v>90561.24</v>
      </c>
      <c r="J174" s="20" t="s">
        <v>177</v>
      </c>
      <c r="K174" s="21" t="s">
        <v>14</v>
      </c>
    </row>
    <row r="175">
      <c r="A175" s="7"/>
      <c r="B175" s="7"/>
      <c r="C175" s="7"/>
      <c r="E175" s="7"/>
      <c r="F175" s="7"/>
      <c r="G175" s="36"/>
      <c r="H175" s="37"/>
    </row>
    <row r="176">
      <c r="A176" s="7"/>
      <c r="B176" s="7"/>
      <c r="C176" s="7"/>
      <c r="E176" s="7"/>
      <c r="F176" s="7"/>
      <c r="G176" s="36"/>
      <c r="H176" s="37"/>
    </row>
    <row r="177" ht="22.5" customHeight="1">
      <c r="A177" s="8" t="s">
        <v>240</v>
      </c>
      <c r="B177" s="9" t="s">
        <v>60</v>
      </c>
      <c r="C177" s="93" t="s">
        <v>61</v>
      </c>
      <c r="D177" s="10" t="s">
        <v>3</v>
      </c>
      <c r="E177" s="8" t="s">
        <v>4</v>
      </c>
      <c r="F177" s="11" t="s">
        <v>5</v>
      </c>
      <c r="G177" s="12" t="s">
        <v>6</v>
      </c>
      <c r="H177" s="12" t="s">
        <v>248</v>
      </c>
      <c r="I177" s="12" t="s">
        <v>20</v>
      </c>
      <c r="J177" s="13" t="s">
        <v>9</v>
      </c>
      <c r="K177" s="10" t="s">
        <v>10</v>
      </c>
    </row>
    <row r="178" ht="22.5" customHeight="1">
      <c r="A178" s="94" t="s">
        <v>324</v>
      </c>
      <c r="B178" s="96">
        <v>100.0</v>
      </c>
      <c r="C178" s="15">
        <v>100.0</v>
      </c>
      <c r="D178" s="15" t="s">
        <v>22</v>
      </c>
      <c r="E178" s="29">
        <v>10460.0</v>
      </c>
      <c r="F178" s="95">
        <v>22406.28</v>
      </c>
      <c r="G178" s="29">
        <v>32866.28</v>
      </c>
      <c r="H178" s="32">
        <v>52628.73000000001</v>
      </c>
      <c r="I178" s="19">
        <f t="shared" ref="I178:I183" si="10">H178*0.9</f>
        <v>47365.857</v>
      </c>
      <c r="J178" s="20" t="s">
        <v>177</v>
      </c>
      <c r="K178" s="21" t="s">
        <v>14</v>
      </c>
    </row>
    <row r="179" ht="22.5" customHeight="1">
      <c r="A179" s="94" t="s">
        <v>327</v>
      </c>
      <c r="B179" s="99">
        <v>120.0</v>
      </c>
      <c r="C179" s="15">
        <v>120.0</v>
      </c>
      <c r="D179" s="15" t="s">
        <v>22</v>
      </c>
      <c r="E179" s="29">
        <v>11360.0</v>
      </c>
      <c r="F179" s="95">
        <v>22865.44</v>
      </c>
      <c r="G179" s="29">
        <v>34225.44</v>
      </c>
      <c r="H179" s="32">
        <v>54271.14000000001</v>
      </c>
      <c r="I179" s="19">
        <f t="shared" si="10"/>
        <v>48844.026</v>
      </c>
      <c r="J179" s="20" t="s">
        <v>177</v>
      </c>
      <c r="K179" s="21" t="s">
        <v>14</v>
      </c>
    </row>
    <row r="180" ht="22.5" customHeight="1">
      <c r="A180" s="94" t="s">
        <v>236</v>
      </c>
      <c r="B180" s="96">
        <v>140.0</v>
      </c>
      <c r="C180" s="15">
        <v>140.0</v>
      </c>
      <c r="D180" s="15" t="s">
        <v>22</v>
      </c>
      <c r="E180" s="29">
        <v>12804.0</v>
      </c>
      <c r="F180" s="95">
        <v>23992.61</v>
      </c>
      <c r="G180" s="29">
        <v>36796.61</v>
      </c>
      <c r="H180" s="32">
        <v>58305.55500000001</v>
      </c>
      <c r="I180" s="19">
        <f t="shared" si="10"/>
        <v>52474.9995</v>
      </c>
      <c r="J180" s="20" t="s">
        <v>177</v>
      </c>
      <c r="K180" s="21" t="s">
        <v>14</v>
      </c>
    </row>
    <row r="181" ht="22.5" customHeight="1">
      <c r="A181" s="94" t="s">
        <v>237</v>
      </c>
      <c r="B181" s="96">
        <v>160.0</v>
      </c>
      <c r="C181" s="15">
        <v>160.0</v>
      </c>
      <c r="D181" s="15" t="s">
        <v>22</v>
      </c>
      <c r="E181" s="29">
        <v>16776.0</v>
      </c>
      <c r="F181" s="95">
        <v>25823.18</v>
      </c>
      <c r="G181" s="29">
        <v>42599.18</v>
      </c>
      <c r="H181" s="32">
        <v>64855.560000000005</v>
      </c>
      <c r="I181" s="19">
        <f t="shared" si="10"/>
        <v>58370.004</v>
      </c>
      <c r="J181" s="20" t="s">
        <v>177</v>
      </c>
      <c r="K181" s="21" t="s">
        <v>14</v>
      </c>
    </row>
    <row r="182" ht="22.5" customHeight="1">
      <c r="A182" s="94" t="s">
        <v>238</v>
      </c>
      <c r="B182" s="96">
        <v>180.0</v>
      </c>
      <c r="C182" s="15">
        <v>180.0</v>
      </c>
      <c r="D182" s="15" t="s">
        <v>22</v>
      </c>
      <c r="E182" s="29">
        <v>19748.0</v>
      </c>
      <c r="F182" s="95">
        <v>28203.1</v>
      </c>
      <c r="G182" s="29">
        <v>47951.1</v>
      </c>
      <c r="H182" s="32">
        <v>73372.53000000001</v>
      </c>
      <c r="I182" s="19">
        <f t="shared" si="10"/>
        <v>66035.277</v>
      </c>
      <c r="J182" s="20" t="s">
        <v>177</v>
      </c>
      <c r="K182" s="21" t="s">
        <v>14</v>
      </c>
    </row>
    <row r="183" ht="22.5" customHeight="1">
      <c r="A183" s="94" t="s">
        <v>328</v>
      </c>
      <c r="B183" s="96">
        <v>200.0</v>
      </c>
      <c r="C183" s="15">
        <v>200.0</v>
      </c>
      <c r="D183" s="15" t="s">
        <v>22</v>
      </c>
      <c r="E183" s="29">
        <v>21820.0</v>
      </c>
      <c r="F183" s="95">
        <v>29235.66</v>
      </c>
      <c r="G183" s="29">
        <v>51055.66</v>
      </c>
      <c r="H183" s="32">
        <v>77068.53000000001</v>
      </c>
      <c r="I183" s="19">
        <f t="shared" si="10"/>
        <v>69361.677</v>
      </c>
      <c r="J183" s="20" t="s">
        <v>177</v>
      </c>
      <c r="K183" s="21" t="s">
        <v>14</v>
      </c>
    </row>
    <row r="186">
      <c r="A186" s="7"/>
      <c r="B186" s="7"/>
      <c r="E186" s="7"/>
      <c r="F186" s="7"/>
      <c r="G186" s="36"/>
      <c r="H186" s="7"/>
      <c r="I186" s="37"/>
    </row>
    <row r="187">
      <c r="A187" s="7"/>
      <c r="B187" s="7"/>
      <c r="E187" s="7"/>
      <c r="F187" s="7"/>
      <c r="G187" s="36"/>
      <c r="H187" s="7"/>
      <c r="I187" s="100"/>
    </row>
    <row r="188">
      <c r="A188" s="60"/>
      <c r="B188" s="60"/>
      <c r="E188" s="47"/>
      <c r="F188" s="64"/>
      <c r="G188" s="64"/>
      <c r="H188" s="47"/>
      <c r="I188" s="64"/>
    </row>
    <row r="189">
      <c r="A189" s="60"/>
      <c r="B189" s="65"/>
      <c r="E189" s="47"/>
      <c r="F189" s="84"/>
      <c r="G189" s="51"/>
      <c r="H189" s="47"/>
      <c r="I189" s="59"/>
    </row>
    <row r="190">
      <c r="A190" s="60"/>
      <c r="B190" s="65"/>
      <c r="E190" s="47"/>
      <c r="F190" s="84"/>
      <c r="G190" s="51"/>
      <c r="H190" s="47"/>
      <c r="I190" s="59"/>
    </row>
    <row r="191">
      <c r="A191" s="60"/>
      <c r="B191" s="65"/>
      <c r="E191" s="47"/>
      <c r="F191" s="84"/>
      <c r="G191" s="51"/>
      <c r="H191" s="47"/>
      <c r="I191" s="59"/>
    </row>
    <row r="192">
      <c r="A192" s="60"/>
      <c r="B192" s="65"/>
      <c r="E192" s="47"/>
      <c r="F192" s="84"/>
      <c r="G192" s="51"/>
      <c r="H192" s="47"/>
      <c r="I192" s="59"/>
    </row>
    <row r="193">
      <c r="A193" s="60"/>
      <c r="B193" s="65"/>
      <c r="C193" s="47"/>
      <c r="D193" s="65"/>
      <c r="E193" s="47"/>
      <c r="F193" s="84"/>
      <c r="G193" s="51"/>
      <c r="H193" s="47"/>
      <c r="I193" s="59"/>
    </row>
    <row r="194">
      <c r="A194" s="60"/>
      <c r="B194" s="65"/>
      <c r="C194" s="47"/>
      <c r="D194" s="65"/>
      <c r="E194" s="47"/>
      <c r="F194" s="84"/>
      <c r="G194" s="51"/>
      <c r="H194" s="47"/>
      <c r="I194" s="59"/>
    </row>
    <row r="195">
      <c r="A195" s="60"/>
      <c r="B195" s="65"/>
      <c r="C195" s="47"/>
      <c r="D195" s="65"/>
      <c r="E195" s="47"/>
      <c r="F195" s="84"/>
      <c r="G195" s="51"/>
      <c r="H195" s="47"/>
      <c r="I195" s="59"/>
    </row>
  </sheetData>
  <dataValidations>
    <dataValidation type="custom" allowBlank="1" showDropDown="1" sqref="D5:H10 D14:H17 D21:H35 B40:B47 D40:H47 B51:B116 E51:I116 B121:B139 E121:I139 B143:B151 E143:I151 B155:B164 E155:I164 B168:B174 E168:I174 B178:B183 E178:I183">
      <formula1>AND(ISNUMBER(B5),(NOT(OR(NOT(ISERROR(DATEVALUE(B5))), AND(ISNUMBER(B5), LEFT(CELL("format", B5))="D")))))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